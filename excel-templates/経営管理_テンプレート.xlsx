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サマリー" sheetId="1" state="visible" r:id="rId1"/>
    <sheet name="経費" sheetId="2" state="visible" r:id="rId2"/>
    <sheet name="外注管理" sheetId="3" state="visible" r:id="rId3"/>
    <sheet name="売上管理" sheetId="4" state="visible" r:id="rId4"/>
    <sheet name="人件費" sheetId="5" state="visible" r:id="rId5"/>
    <sheet name="マスター" sheetId="6" state="hidden" r:id="rId6"/>
  </sheets>
  <definedNames>
    <definedName name="_xlnm._FilterDatabase" localSheetId="1" hidden="1">'経費'!$A$1:$H$201</definedName>
    <definedName name="_xlnm._FilterDatabase" localSheetId="2" hidden="1">'外注管理'!$A$1:$N$201</definedName>
    <definedName name="_xlnm._FilterDatabase" localSheetId="3" hidden="1">'売上管理'!$A$1:$L$201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8">
    <font>
      <name val="Calibri"/>
      <family val="2"/>
      <color theme="1"/>
      <sz val="11"/>
      <scheme val="minor"/>
    </font>
    <font>
      <b val="1"/>
    </font>
    <font>
      <b val="1"/>
      <color rgb="001F4E79"/>
      <sz val="14"/>
    </font>
    <font>
      <b val="1"/>
      <color rgb="00CC0000"/>
    </font>
    <font/>
    <font>
      <b val="1"/>
      <color rgb="00FFFFFF"/>
      <sz val="12"/>
    </font>
    <font>
      <b val="1"/>
      <sz val="14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D9E8F5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E8F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4B4B8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3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3" fontId="6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3" fontId="0" fillId="8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3" fontId="0" fillId="9" borderId="1" applyAlignment="1" pivotButton="0" quotePrefix="0" xfId="0">
      <alignment vertical="center"/>
    </xf>
    <xf numFmtId="0" fontId="1" fillId="0" borderId="0" pivotButton="0" quotePrefix="0" xfId="0"/>
    <xf numFmtId="3" fontId="1" fillId="0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FE0E0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E4B5"/>
        </patternFill>
      </fill>
    </dxf>
    <dxf>
      <fill>
        <patternFill patternType="solid">
          <fgColor rgb="00FFFA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月次サマリー</t>
        </is>
      </c>
    </row>
    <row r="3" ht="22" customHeight="1">
      <c r="A3" s="2" t="inlineStr">
        <is>
          <t>■ 売上</t>
        </is>
      </c>
      <c r="B3" s="3" t="n"/>
      <c r="C3" s="3" t="n"/>
      <c r="D3" s="4" t="n"/>
    </row>
    <row r="4" ht="22" customHeight="1">
      <c r="A4" s="2" t="inlineStr">
        <is>
          <t>請求済合計（税込）</t>
        </is>
      </c>
      <c r="B4" s="5">
        <f>SUM(売上管理!G2:G201)</f>
        <v/>
      </c>
    </row>
    <row r="5" ht="22" customHeight="1">
      <c r="A5" s="2" t="inlineStr">
        <is>
          <t>入金済合計</t>
        </is>
      </c>
      <c r="B5" s="5">
        <f>SUMIF(売上管理!L2:L201,"入金済",売上管理!K2:K201)</f>
        <v/>
      </c>
    </row>
    <row r="6" ht="22" customHeight="1">
      <c r="A6" s="6" t="inlineStr">
        <is>
          <t>未入金残高</t>
        </is>
      </c>
      <c r="B6" s="5">
        <f>SUMIF(売上管理!L2:L201,"未入金",売上管理!G2:G201)</f>
        <v/>
      </c>
    </row>
    <row r="8" ht="22" customHeight="1">
      <c r="A8" s="7" t="inlineStr">
        <is>
          <t>■ 外注費</t>
        </is>
      </c>
      <c r="B8" s="3" t="n"/>
      <c r="C8" s="3" t="n"/>
      <c r="D8" s="4" t="n"/>
    </row>
    <row r="9" ht="22" customHeight="1">
      <c r="A9" s="7" t="inlineStr">
        <is>
          <t>請求受取合計（税込）</t>
        </is>
      </c>
      <c r="B9" s="5">
        <f>SUM(外注管理!H2:H201)</f>
        <v/>
      </c>
    </row>
    <row r="10" ht="22" customHeight="1">
      <c r="A10" s="7" t="inlineStr">
        <is>
          <t>支払済合計</t>
        </is>
      </c>
      <c r="B10" s="5">
        <f>SUMIF(外注管理!M2:M201,"支払済",外注管理!L2:L201)</f>
        <v/>
      </c>
    </row>
    <row r="11" ht="22" customHeight="1">
      <c r="A11" s="6" t="inlineStr">
        <is>
          <t>未払残高</t>
        </is>
      </c>
      <c r="B11" s="5">
        <f>SUMIF(外注管理!M2:M201,"未払",外注管理!H2:H201)</f>
        <v/>
      </c>
    </row>
    <row r="13" ht="22" customHeight="1">
      <c r="A13" s="8" t="inlineStr">
        <is>
          <t>■ 経費</t>
        </is>
      </c>
      <c r="B13" s="3" t="n"/>
      <c r="C13" s="3" t="n"/>
      <c r="D13" s="4" t="n"/>
    </row>
    <row r="14" ht="22" customHeight="1">
      <c r="A14" s="9" t="inlineStr">
        <is>
          <t>材料費</t>
        </is>
      </c>
      <c r="B14" s="5">
        <f>SUMIF(経費!C2:C201,"材料費",経費!G2:G201)</f>
        <v/>
      </c>
    </row>
    <row r="15" ht="22" customHeight="1">
      <c r="A15" s="9" t="inlineStr">
        <is>
          <t>燃料費</t>
        </is>
      </c>
      <c r="B15" s="5">
        <f>SUMIF(経費!C2:C201,"燃料費",経費!G2:G201)</f>
        <v/>
      </c>
    </row>
    <row r="16" ht="22" customHeight="1">
      <c r="A16" s="9" t="inlineStr">
        <is>
          <t>高速料金</t>
        </is>
      </c>
      <c r="B16" s="5">
        <f>SUMIF(経費!C2:C201,"高速料金",経費!G2:G201)</f>
        <v/>
      </c>
    </row>
    <row r="17" ht="22" customHeight="1">
      <c r="A17" s="9" t="inlineStr">
        <is>
          <t>駐車場代</t>
        </is>
      </c>
      <c r="B17" s="5">
        <f>SUMIF(経費!C2:C201,"駐車場代",経費!G2:G201)</f>
        <v/>
      </c>
    </row>
    <row r="18" ht="22" customHeight="1">
      <c r="A18" s="9" t="inlineStr">
        <is>
          <t>工具・消耗品費</t>
        </is>
      </c>
      <c r="B18" s="5">
        <f>SUMIF(経費!C2:C201,"工具・消耗品費",経費!G2:G201)</f>
        <v/>
      </c>
    </row>
    <row r="19" ht="22" customHeight="1">
      <c r="A19" s="9" t="inlineStr">
        <is>
          <t>通信費</t>
        </is>
      </c>
      <c r="B19" s="5">
        <f>SUMIF(経費!C2:C201,"通信費",経費!G2:G201)</f>
        <v/>
      </c>
    </row>
    <row r="20" ht="22" customHeight="1">
      <c r="A20" s="9" t="inlineStr">
        <is>
          <t>交際費</t>
        </is>
      </c>
      <c r="B20" s="5">
        <f>SUMIF(経費!C2:C201,"交際費",経費!G2:G201)</f>
        <v/>
      </c>
    </row>
    <row r="21" ht="22" customHeight="1">
      <c r="A21" s="9" t="inlineStr">
        <is>
          <t>会議費</t>
        </is>
      </c>
      <c r="B21" s="5">
        <f>SUMIF(経費!C2:C201,"会議費",経費!G2:G201)</f>
        <v/>
      </c>
    </row>
    <row r="22" ht="22" customHeight="1">
      <c r="A22" s="9" t="inlineStr">
        <is>
          <t>事務用品費</t>
        </is>
      </c>
      <c r="B22" s="5">
        <f>SUMIF(経費!C2:C201,"事務用品費",経費!G2:G201)</f>
        <v/>
      </c>
    </row>
    <row r="23" ht="22" customHeight="1">
      <c r="A23" s="9" t="inlineStr">
        <is>
          <t>広告宣伝費</t>
        </is>
      </c>
      <c r="B23" s="5">
        <f>SUMIF(経費!C2:C201,"広告宣伝費",経費!G2:G201)</f>
        <v/>
      </c>
    </row>
    <row r="24" ht="22" customHeight="1">
      <c r="A24" s="9" t="inlineStr">
        <is>
          <t>研修費</t>
        </is>
      </c>
      <c r="B24" s="5">
        <f>SUMIF(経費!C2:C201,"研修費",経費!G2:G201)</f>
        <v/>
      </c>
    </row>
    <row r="25" ht="22" customHeight="1">
      <c r="A25" s="9" t="inlineStr">
        <is>
          <t>福利厚生費</t>
        </is>
      </c>
      <c r="B25" s="5">
        <f>SUMIF(経費!C2:C201,"福利厚生費",経費!G2:G201)</f>
        <v/>
      </c>
    </row>
    <row r="26" ht="22" customHeight="1">
      <c r="A26" s="9" t="inlineStr">
        <is>
          <t>車両維持費</t>
        </is>
      </c>
      <c r="B26" s="5">
        <f>SUMIF(経費!C2:C201,"車両維持費",経費!G2:G201)</f>
        <v/>
      </c>
    </row>
    <row r="27" ht="22" customHeight="1">
      <c r="A27" s="9" t="inlineStr">
        <is>
          <t>地代家賃</t>
        </is>
      </c>
      <c r="B27" s="5">
        <f>SUMIF(経費!C2:C201,"地代家賃",経費!G2:G201)</f>
        <v/>
      </c>
    </row>
    <row r="28" ht="22" customHeight="1">
      <c r="A28" s="9" t="inlineStr">
        <is>
          <t>保険料</t>
        </is>
      </c>
      <c r="B28" s="5">
        <f>SUMIF(経費!C2:C201,"保険料",経費!G2:G201)</f>
        <v/>
      </c>
    </row>
    <row r="29" ht="22" customHeight="1">
      <c r="A29" s="9" t="inlineStr">
        <is>
          <t>雑費</t>
        </is>
      </c>
      <c r="B29" s="5">
        <f>SUMIF(経費!C2:C201,"雑費",経費!G2:G201)</f>
        <v/>
      </c>
    </row>
    <row r="30" ht="22" customHeight="1">
      <c r="A30" s="8" t="inlineStr">
        <is>
          <t>経費合計</t>
        </is>
      </c>
      <c r="B30" s="5">
        <f>SUM(経費!G2:G201)</f>
        <v/>
      </c>
    </row>
    <row r="32" ht="22" customHeight="1">
      <c r="A32" s="10" t="inlineStr">
        <is>
          <t>■ 人件費</t>
        </is>
      </c>
      <c r="B32" s="3" t="n"/>
      <c r="C32" s="3" t="n"/>
      <c r="D32" s="4" t="n"/>
    </row>
    <row r="33" ht="22" customHeight="1">
      <c r="A33" s="10" t="inlineStr">
        <is>
          <t>支給総額合計</t>
        </is>
      </c>
      <c r="B33" s="5">
        <f>SUM(人件費!B2:B14)</f>
        <v/>
      </c>
    </row>
    <row r="34" ht="22" customHeight="1">
      <c r="A34" s="10" t="inlineStr">
        <is>
          <t>手取り合計</t>
        </is>
      </c>
      <c r="B34" s="5">
        <f>SUM(人件費!D2:D14)</f>
        <v/>
      </c>
    </row>
    <row r="36" ht="22" customHeight="1">
      <c r="A36" s="11" t="inlineStr">
        <is>
          <t>■ 粗利（概算）</t>
        </is>
      </c>
    </row>
    <row r="37" ht="30" customHeight="1">
      <c r="A37" s="12">
        <f>SUM(売上管理!G2:G201)-SUM(外注管理!H2:H201)-SUM(経費!G2:G201)-SUM(人件費!B2:B14)</f>
        <v/>
      </c>
      <c r="B37" s="3" t="n"/>
      <c r="C37" s="3" t="n"/>
      <c r="D37" s="4" t="n"/>
    </row>
  </sheetData>
  <mergeCells count="7">
    <mergeCell ref="A1:D1"/>
    <mergeCell ref="A37:D37"/>
    <mergeCell ref="A8:D8"/>
    <mergeCell ref="A3:D3"/>
    <mergeCell ref="A36:D36"/>
    <mergeCell ref="A32:D3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4" customWidth="1" min="4" max="4"/>
    <col width="20" customWidth="1" min="5" max="5"/>
    <col width="20" customWidth="1" min="6" max="6"/>
    <col width="14" customWidth="1" min="7" max="7"/>
    <col width="24" customWidth="1" min="8" max="8"/>
  </cols>
  <sheetData>
    <row r="1" ht="30" customHeight="1">
      <c r="A1" s="13" t="inlineStr">
        <is>
          <t>No</t>
        </is>
      </c>
      <c r="B1" s="13" t="inlineStr">
        <is>
          <t>日付</t>
        </is>
      </c>
      <c r="C1" s="13" t="inlineStr">
        <is>
          <t>経費種類</t>
        </is>
      </c>
      <c r="D1" s="13" t="inlineStr">
        <is>
          <t>支払方法</t>
        </is>
      </c>
      <c r="E1" s="13" t="inlineStr">
        <is>
          <t>店名・支払先</t>
        </is>
      </c>
      <c r="F1" s="13" t="inlineStr">
        <is>
          <t>案件名</t>
        </is>
      </c>
      <c r="G1" s="13" t="inlineStr">
        <is>
          <t>金額（税込）</t>
        </is>
      </c>
      <c r="H1" s="13" t="inlineStr">
        <is>
          <t>備考</t>
        </is>
      </c>
    </row>
    <row r="2">
      <c r="A2" s="14">
        <f>IF(B2&lt;&gt;"",ROW()-1,"")</f>
        <v/>
      </c>
      <c r="B2" s="15" t="n"/>
      <c r="C2" s="16" t="n"/>
      <c r="D2" s="16" t="n"/>
      <c r="E2" s="16" t="n"/>
      <c r="F2" s="16" t="n"/>
      <c r="G2" s="17" t="n"/>
      <c r="H2" s="16" t="n"/>
    </row>
    <row r="3">
      <c r="A3" s="18">
        <f>IF(B3&lt;&gt;"",ROW()-1,"")</f>
        <v/>
      </c>
      <c r="B3" s="19" t="n"/>
      <c r="C3" s="20" t="n"/>
      <c r="D3" s="20" t="n"/>
      <c r="E3" s="20" t="n"/>
      <c r="F3" s="20" t="n"/>
      <c r="G3" s="21" t="n"/>
      <c r="H3" s="20" t="n"/>
    </row>
    <row r="4">
      <c r="A4" s="14">
        <f>IF(B4&lt;&gt;"",ROW()-1,"")</f>
        <v/>
      </c>
      <c r="B4" s="15" t="n"/>
      <c r="C4" s="16" t="n"/>
      <c r="D4" s="16" t="n"/>
      <c r="E4" s="16" t="n"/>
      <c r="F4" s="16" t="n"/>
      <c r="G4" s="17" t="n"/>
      <c r="H4" s="16" t="n"/>
    </row>
    <row r="5">
      <c r="A5" s="18">
        <f>IF(B5&lt;&gt;"",ROW()-1,"")</f>
        <v/>
      </c>
      <c r="B5" s="19" t="n"/>
      <c r="C5" s="20" t="n"/>
      <c r="D5" s="20" t="n"/>
      <c r="E5" s="20" t="n"/>
      <c r="F5" s="20" t="n"/>
      <c r="G5" s="21" t="n"/>
      <c r="H5" s="20" t="n"/>
    </row>
    <row r="6">
      <c r="A6" s="14">
        <f>IF(B6&lt;&gt;"",ROW()-1,"")</f>
        <v/>
      </c>
      <c r="B6" s="15" t="n"/>
      <c r="C6" s="16" t="n"/>
      <c r="D6" s="16" t="n"/>
      <c r="E6" s="16" t="n"/>
      <c r="F6" s="16" t="n"/>
      <c r="G6" s="17" t="n"/>
      <c r="H6" s="16" t="n"/>
    </row>
    <row r="7">
      <c r="A7" s="18">
        <f>IF(B7&lt;&gt;"",ROW()-1,"")</f>
        <v/>
      </c>
      <c r="B7" s="19" t="n"/>
      <c r="C7" s="20" t="n"/>
      <c r="D7" s="20" t="n"/>
      <c r="E7" s="20" t="n"/>
      <c r="F7" s="20" t="n"/>
      <c r="G7" s="21" t="n"/>
      <c r="H7" s="20" t="n"/>
    </row>
    <row r="8">
      <c r="A8" s="14">
        <f>IF(B8&lt;&gt;"",ROW()-1,"")</f>
        <v/>
      </c>
      <c r="B8" s="15" t="n"/>
      <c r="C8" s="16" t="n"/>
      <c r="D8" s="16" t="n"/>
      <c r="E8" s="16" t="n"/>
      <c r="F8" s="16" t="n"/>
      <c r="G8" s="17" t="n"/>
      <c r="H8" s="16" t="n"/>
    </row>
    <row r="9">
      <c r="A9" s="18">
        <f>IF(B9&lt;&gt;"",ROW()-1,"")</f>
        <v/>
      </c>
      <c r="B9" s="19" t="n"/>
      <c r="C9" s="20" t="n"/>
      <c r="D9" s="20" t="n"/>
      <c r="E9" s="20" t="n"/>
      <c r="F9" s="20" t="n"/>
      <c r="G9" s="21" t="n"/>
      <c r="H9" s="20" t="n"/>
    </row>
    <row r="10">
      <c r="A10" s="14">
        <f>IF(B10&lt;&gt;"",ROW()-1,"")</f>
        <v/>
      </c>
      <c r="B10" s="15" t="n"/>
      <c r="C10" s="16" t="n"/>
      <c r="D10" s="16" t="n"/>
      <c r="E10" s="16" t="n"/>
      <c r="F10" s="16" t="n"/>
      <c r="G10" s="17" t="n"/>
      <c r="H10" s="16" t="n"/>
    </row>
    <row r="11">
      <c r="A11" s="18">
        <f>IF(B11&lt;&gt;"",ROW()-1,"")</f>
        <v/>
      </c>
      <c r="B11" s="19" t="n"/>
      <c r="C11" s="20" t="n"/>
      <c r="D11" s="20" t="n"/>
      <c r="E11" s="20" t="n"/>
      <c r="F11" s="20" t="n"/>
      <c r="G11" s="21" t="n"/>
      <c r="H11" s="20" t="n"/>
    </row>
    <row r="12">
      <c r="A12" s="14">
        <f>IF(B12&lt;&gt;"",ROW()-1,"")</f>
        <v/>
      </c>
      <c r="B12" s="15" t="n"/>
      <c r="C12" s="16" t="n"/>
      <c r="D12" s="16" t="n"/>
      <c r="E12" s="16" t="n"/>
      <c r="F12" s="16" t="n"/>
      <c r="G12" s="17" t="n"/>
      <c r="H12" s="16" t="n"/>
    </row>
    <row r="13">
      <c r="A13" s="18">
        <f>IF(B13&lt;&gt;"",ROW()-1,"")</f>
        <v/>
      </c>
      <c r="B13" s="19" t="n"/>
      <c r="C13" s="20" t="n"/>
      <c r="D13" s="20" t="n"/>
      <c r="E13" s="20" t="n"/>
      <c r="F13" s="20" t="n"/>
      <c r="G13" s="21" t="n"/>
      <c r="H13" s="20" t="n"/>
    </row>
    <row r="14">
      <c r="A14" s="14">
        <f>IF(B14&lt;&gt;"",ROW()-1,"")</f>
        <v/>
      </c>
      <c r="B14" s="15" t="n"/>
      <c r="C14" s="16" t="n"/>
      <c r="D14" s="16" t="n"/>
      <c r="E14" s="16" t="n"/>
      <c r="F14" s="16" t="n"/>
      <c r="G14" s="17" t="n"/>
      <c r="H14" s="16" t="n"/>
    </row>
    <row r="15">
      <c r="A15" s="18">
        <f>IF(B15&lt;&gt;"",ROW()-1,"")</f>
        <v/>
      </c>
      <c r="B15" s="19" t="n"/>
      <c r="C15" s="20" t="n"/>
      <c r="D15" s="20" t="n"/>
      <c r="E15" s="20" t="n"/>
      <c r="F15" s="20" t="n"/>
      <c r="G15" s="21" t="n"/>
      <c r="H15" s="20" t="n"/>
    </row>
    <row r="16">
      <c r="A16" s="14">
        <f>IF(B16&lt;&gt;"",ROW()-1,"")</f>
        <v/>
      </c>
      <c r="B16" s="15" t="n"/>
      <c r="C16" s="16" t="n"/>
      <c r="D16" s="16" t="n"/>
      <c r="E16" s="16" t="n"/>
      <c r="F16" s="16" t="n"/>
      <c r="G16" s="17" t="n"/>
      <c r="H16" s="16" t="n"/>
    </row>
    <row r="17">
      <c r="A17" s="18">
        <f>IF(B17&lt;&gt;"",ROW()-1,"")</f>
        <v/>
      </c>
      <c r="B17" s="19" t="n"/>
      <c r="C17" s="20" t="n"/>
      <c r="D17" s="20" t="n"/>
      <c r="E17" s="20" t="n"/>
      <c r="F17" s="20" t="n"/>
      <c r="G17" s="21" t="n"/>
      <c r="H17" s="20" t="n"/>
    </row>
    <row r="18">
      <c r="A18" s="14">
        <f>IF(B18&lt;&gt;"",ROW()-1,"")</f>
        <v/>
      </c>
      <c r="B18" s="15" t="n"/>
      <c r="C18" s="16" t="n"/>
      <c r="D18" s="16" t="n"/>
      <c r="E18" s="16" t="n"/>
      <c r="F18" s="16" t="n"/>
      <c r="G18" s="17" t="n"/>
      <c r="H18" s="16" t="n"/>
    </row>
    <row r="19">
      <c r="A19" s="18">
        <f>IF(B19&lt;&gt;"",ROW()-1,"")</f>
        <v/>
      </c>
      <c r="B19" s="19" t="n"/>
      <c r="C19" s="20" t="n"/>
      <c r="D19" s="20" t="n"/>
      <c r="E19" s="20" t="n"/>
      <c r="F19" s="20" t="n"/>
      <c r="G19" s="21" t="n"/>
      <c r="H19" s="20" t="n"/>
    </row>
    <row r="20">
      <c r="A20" s="14">
        <f>IF(B20&lt;&gt;"",ROW()-1,"")</f>
        <v/>
      </c>
      <c r="B20" s="15" t="n"/>
      <c r="C20" s="16" t="n"/>
      <c r="D20" s="16" t="n"/>
      <c r="E20" s="16" t="n"/>
      <c r="F20" s="16" t="n"/>
      <c r="G20" s="17" t="n"/>
      <c r="H20" s="16" t="n"/>
    </row>
    <row r="21">
      <c r="A21" s="18">
        <f>IF(B21&lt;&gt;"",ROW()-1,"")</f>
        <v/>
      </c>
      <c r="B21" s="19" t="n"/>
      <c r="C21" s="20" t="n"/>
      <c r="D21" s="20" t="n"/>
      <c r="E21" s="20" t="n"/>
      <c r="F21" s="20" t="n"/>
      <c r="G21" s="21" t="n"/>
      <c r="H21" s="20" t="n"/>
    </row>
    <row r="22">
      <c r="A22" s="14">
        <f>IF(B22&lt;&gt;"",ROW()-1,"")</f>
        <v/>
      </c>
      <c r="B22" s="15" t="n"/>
      <c r="C22" s="16" t="n"/>
      <c r="D22" s="16" t="n"/>
      <c r="E22" s="16" t="n"/>
      <c r="F22" s="16" t="n"/>
      <c r="G22" s="17" t="n"/>
      <c r="H22" s="16" t="n"/>
    </row>
    <row r="23">
      <c r="A23" s="18">
        <f>IF(B23&lt;&gt;"",ROW()-1,"")</f>
        <v/>
      </c>
      <c r="B23" s="19" t="n"/>
      <c r="C23" s="20" t="n"/>
      <c r="D23" s="20" t="n"/>
      <c r="E23" s="20" t="n"/>
      <c r="F23" s="20" t="n"/>
      <c r="G23" s="21" t="n"/>
      <c r="H23" s="20" t="n"/>
    </row>
    <row r="24">
      <c r="A24" s="14">
        <f>IF(B24&lt;&gt;"",ROW()-1,"")</f>
        <v/>
      </c>
      <c r="B24" s="15" t="n"/>
      <c r="C24" s="16" t="n"/>
      <c r="D24" s="16" t="n"/>
      <c r="E24" s="16" t="n"/>
      <c r="F24" s="16" t="n"/>
      <c r="G24" s="17" t="n"/>
      <c r="H24" s="16" t="n"/>
    </row>
    <row r="25">
      <c r="A25" s="18">
        <f>IF(B25&lt;&gt;"",ROW()-1,"")</f>
        <v/>
      </c>
      <c r="B25" s="19" t="n"/>
      <c r="C25" s="20" t="n"/>
      <c r="D25" s="20" t="n"/>
      <c r="E25" s="20" t="n"/>
      <c r="F25" s="20" t="n"/>
      <c r="G25" s="21" t="n"/>
      <c r="H25" s="20" t="n"/>
    </row>
    <row r="26">
      <c r="A26" s="14">
        <f>IF(B26&lt;&gt;"",ROW()-1,"")</f>
        <v/>
      </c>
      <c r="B26" s="15" t="n"/>
      <c r="C26" s="16" t="n"/>
      <c r="D26" s="16" t="n"/>
      <c r="E26" s="16" t="n"/>
      <c r="F26" s="16" t="n"/>
      <c r="G26" s="17" t="n"/>
      <c r="H26" s="16" t="n"/>
    </row>
    <row r="27">
      <c r="A27" s="18">
        <f>IF(B27&lt;&gt;"",ROW()-1,"")</f>
        <v/>
      </c>
      <c r="B27" s="19" t="n"/>
      <c r="C27" s="20" t="n"/>
      <c r="D27" s="20" t="n"/>
      <c r="E27" s="20" t="n"/>
      <c r="F27" s="20" t="n"/>
      <c r="G27" s="21" t="n"/>
      <c r="H27" s="20" t="n"/>
    </row>
    <row r="28">
      <c r="A28" s="14">
        <f>IF(B28&lt;&gt;"",ROW()-1,"")</f>
        <v/>
      </c>
      <c r="B28" s="15" t="n"/>
      <c r="C28" s="16" t="n"/>
      <c r="D28" s="16" t="n"/>
      <c r="E28" s="16" t="n"/>
      <c r="F28" s="16" t="n"/>
      <c r="G28" s="17" t="n"/>
      <c r="H28" s="16" t="n"/>
    </row>
    <row r="29">
      <c r="A29" s="18">
        <f>IF(B29&lt;&gt;"",ROW()-1,"")</f>
        <v/>
      </c>
      <c r="B29" s="19" t="n"/>
      <c r="C29" s="20" t="n"/>
      <c r="D29" s="20" t="n"/>
      <c r="E29" s="20" t="n"/>
      <c r="F29" s="20" t="n"/>
      <c r="G29" s="21" t="n"/>
      <c r="H29" s="20" t="n"/>
    </row>
    <row r="30">
      <c r="A30" s="14">
        <f>IF(B30&lt;&gt;"",ROW()-1,"")</f>
        <v/>
      </c>
      <c r="B30" s="15" t="n"/>
      <c r="C30" s="16" t="n"/>
      <c r="D30" s="16" t="n"/>
      <c r="E30" s="16" t="n"/>
      <c r="F30" s="16" t="n"/>
      <c r="G30" s="17" t="n"/>
      <c r="H30" s="16" t="n"/>
    </row>
    <row r="31">
      <c r="A31" s="18">
        <f>IF(B31&lt;&gt;"",ROW()-1,"")</f>
        <v/>
      </c>
      <c r="B31" s="19" t="n"/>
      <c r="C31" s="20" t="n"/>
      <c r="D31" s="20" t="n"/>
      <c r="E31" s="20" t="n"/>
      <c r="F31" s="20" t="n"/>
      <c r="G31" s="21" t="n"/>
      <c r="H31" s="20" t="n"/>
    </row>
    <row r="32">
      <c r="A32" s="14">
        <f>IF(B32&lt;&gt;"",ROW()-1,"")</f>
        <v/>
      </c>
      <c r="B32" s="15" t="n"/>
      <c r="C32" s="16" t="n"/>
      <c r="D32" s="16" t="n"/>
      <c r="E32" s="16" t="n"/>
      <c r="F32" s="16" t="n"/>
      <c r="G32" s="17" t="n"/>
      <c r="H32" s="16" t="n"/>
    </row>
    <row r="33">
      <c r="A33" s="18">
        <f>IF(B33&lt;&gt;"",ROW()-1,"")</f>
        <v/>
      </c>
      <c r="B33" s="19" t="n"/>
      <c r="C33" s="20" t="n"/>
      <c r="D33" s="20" t="n"/>
      <c r="E33" s="20" t="n"/>
      <c r="F33" s="20" t="n"/>
      <c r="G33" s="21" t="n"/>
      <c r="H33" s="20" t="n"/>
    </row>
    <row r="34">
      <c r="A34" s="14">
        <f>IF(B34&lt;&gt;"",ROW()-1,"")</f>
        <v/>
      </c>
      <c r="B34" s="15" t="n"/>
      <c r="C34" s="16" t="n"/>
      <c r="D34" s="16" t="n"/>
      <c r="E34" s="16" t="n"/>
      <c r="F34" s="16" t="n"/>
      <c r="G34" s="17" t="n"/>
      <c r="H34" s="16" t="n"/>
    </row>
    <row r="35">
      <c r="A35" s="18">
        <f>IF(B35&lt;&gt;"",ROW()-1,"")</f>
        <v/>
      </c>
      <c r="B35" s="19" t="n"/>
      <c r="C35" s="20" t="n"/>
      <c r="D35" s="20" t="n"/>
      <c r="E35" s="20" t="n"/>
      <c r="F35" s="20" t="n"/>
      <c r="G35" s="21" t="n"/>
      <c r="H35" s="20" t="n"/>
    </row>
    <row r="36">
      <c r="A36" s="14">
        <f>IF(B36&lt;&gt;"",ROW()-1,"")</f>
        <v/>
      </c>
      <c r="B36" s="15" t="n"/>
      <c r="C36" s="16" t="n"/>
      <c r="D36" s="16" t="n"/>
      <c r="E36" s="16" t="n"/>
      <c r="F36" s="16" t="n"/>
      <c r="G36" s="17" t="n"/>
      <c r="H36" s="16" t="n"/>
    </row>
    <row r="37">
      <c r="A37" s="18">
        <f>IF(B37&lt;&gt;"",ROW()-1,"")</f>
        <v/>
      </c>
      <c r="B37" s="19" t="n"/>
      <c r="C37" s="20" t="n"/>
      <c r="D37" s="20" t="n"/>
      <c r="E37" s="20" t="n"/>
      <c r="F37" s="20" t="n"/>
      <c r="G37" s="21" t="n"/>
      <c r="H37" s="20" t="n"/>
    </row>
    <row r="38">
      <c r="A38" s="14">
        <f>IF(B38&lt;&gt;"",ROW()-1,"")</f>
        <v/>
      </c>
      <c r="B38" s="15" t="n"/>
      <c r="C38" s="16" t="n"/>
      <c r="D38" s="16" t="n"/>
      <c r="E38" s="16" t="n"/>
      <c r="F38" s="16" t="n"/>
      <c r="G38" s="17" t="n"/>
      <c r="H38" s="16" t="n"/>
    </row>
    <row r="39">
      <c r="A39" s="18">
        <f>IF(B39&lt;&gt;"",ROW()-1,"")</f>
        <v/>
      </c>
      <c r="B39" s="19" t="n"/>
      <c r="C39" s="20" t="n"/>
      <c r="D39" s="20" t="n"/>
      <c r="E39" s="20" t="n"/>
      <c r="F39" s="20" t="n"/>
      <c r="G39" s="21" t="n"/>
      <c r="H39" s="20" t="n"/>
    </row>
    <row r="40">
      <c r="A40" s="14">
        <f>IF(B40&lt;&gt;"",ROW()-1,"")</f>
        <v/>
      </c>
      <c r="B40" s="15" t="n"/>
      <c r="C40" s="16" t="n"/>
      <c r="D40" s="16" t="n"/>
      <c r="E40" s="16" t="n"/>
      <c r="F40" s="16" t="n"/>
      <c r="G40" s="17" t="n"/>
      <c r="H40" s="16" t="n"/>
    </row>
    <row r="41">
      <c r="A41" s="18">
        <f>IF(B41&lt;&gt;"",ROW()-1,"")</f>
        <v/>
      </c>
      <c r="B41" s="19" t="n"/>
      <c r="C41" s="20" t="n"/>
      <c r="D41" s="20" t="n"/>
      <c r="E41" s="20" t="n"/>
      <c r="F41" s="20" t="n"/>
      <c r="G41" s="21" t="n"/>
      <c r="H41" s="20" t="n"/>
    </row>
    <row r="42">
      <c r="A42" s="14">
        <f>IF(B42&lt;&gt;"",ROW()-1,"")</f>
        <v/>
      </c>
      <c r="B42" s="15" t="n"/>
      <c r="C42" s="16" t="n"/>
      <c r="D42" s="16" t="n"/>
      <c r="E42" s="16" t="n"/>
      <c r="F42" s="16" t="n"/>
      <c r="G42" s="17" t="n"/>
      <c r="H42" s="16" t="n"/>
    </row>
    <row r="43">
      <c r="A43" s="18">
        <f>IF(B43&lt;&gt;"",ROW()-1,"")</f>
        <v/>
      </c>
      <c r="B43" s="19" t="n"/>
      <c r="C43" s="20" t="n"/>
      <c r="D43" s="20" t="n"/>
      <c r="E43" s="20" t="n"/>
      <c r="F43" s="20" t="n"/>
      <c r="G43" s="21" t="n"/>
      <c r="H43" s="20" t="n"/>
    </row>
    <row r="44">
      <c r="A44" s="14">
        <f>IF(B44&lt;&gt;"",ROW()-1,"")</f>
        <v/>
      </c>
      <c r="B44" s="15" t="n"/>
      <c r="C44" s="16" t="n"/>
      <c r="D44" s="16" t="n"/>
      <c r="E44" s="16" t="n"/>
      <c r="F44" s="16" t="n"/>
      <c r="G44" s="17" t="n"/>
      <c r="H44" s="16" t="n"/>
    </row>
    <row r="45">
      <c r="A45" s="18">
        <f>IF(B45&lt;&gt;"",ROW()-1,"")</f>
        <v/>
      </c>
      <c r="B45" s="19" t="n"/>
      <c r="C45" s="20" t="n"/>
      <c r="D45" s="20" t="n"/>
      <c r="E45" s="20" t="n"/>
      <c r="F45" s="20" t="n"/>
      <c r="G45" s="21" t="n"/>
      <c r="H45" s="20" t="n"/>
    </row>
    <row r="46">
      <c r="A46" s="14">
        <f>IF(B46&lt;&gt;"",ROW()-1,"")</f>
        <v/>
      </c>
      <c r="B46" s="15" t="n"/>
      <c r="C46" s="16" t="n"/>
      <c r="D46" s="16" t="n"/>
      <c r="E46" s="16" t="n"/>
      <c r="F46" s="16" t="n"/>
      <c r="G46" s="17" t="n"/>
      <c r="H46" s="16" t="n"/>
    </row>
    <row r="47">
      <c r="A47" s="18">
        <f>IF(B47&lt;&gt;"",ROW()-1,"")</f>
        <v/>
      </c>
      <c r="B47" s="19" t="n"/>
      <c r="C47" s="20" t="n"/>
      <c r="D47" s="20" t="n"/>
      <c r="E47" s="20" t="n"/>
      <c r="F47" s="20" t="n"/>
      <c r="G47" s="21" t="n"/>
      <c r="H47" s="20" t="n"/>
    </row>
    <row r="48">
      <c r="A48" s="14">
        <f>IF(B48&lt;&gt;"",ROW()-1,"")</f>
        <v/>
      </c>
      <c r="B48" s="15" t="n"/>
      <c r="C48" s="16" t="n"/>
      <c r="D48" s="16" t="n"/>
      <c r="E48" s="16" t="n"/>
      <c r="F48" s="16" t="n"/>
      <c r="G48" s="17" t="n"/>
      <c r="H48" s="16" t="n"/>
    </row>
    <row r="49">
      <c r="A49" s="18">
        <f>IF(B49&lt;&gt;"",ROW()-1,"")</f>
        <v/>
      </c>
      <c r="B49" s="19" t="n"/>
      <c r="C49" s="20" t="n"/>
      <c r="D49" s="20" t="n"/>
      <c r="E49" s="20" t="n"/>
      <c r="F49" s="20" t="n"/>
      <c r="G49" s="21" t="n"/>
      <c r="H49" s="20" t="n"/>
    </row>
    <row r="50">
      <c r="A50" s="14">
        <f>IF(B50&lt;&gt;"",ROW()-1,"")</f>
        <v/>
      </c>
      <c r="B50" s="15" t="n"/>
      <c r="C50" s="16" t="n"/>
      <c r="D50" s="16" t="n"/>
      <c r="E50" s="16" t="n"/>
      <c r="F50" s="16" t="n"/>
      <c r="G50" s="17" t="n"/>
      <c r="H50" s="16" t="n"/>
    </row>
    <row r="51">
      <c r="A51" s="18">
        <f>IF(B51&lt;&gt;"",ROW()-1,"")</f>
        <v/>
      </c>
      <c r="B51" s="19" t="n"/>
      <c r="C51" s="20" t="n"/>
      <c r="D51" s="20" t="n"/>
      <c r="E51" s="20" t="n"/>
      <c r="F51" s="20" t="n"/>
      <c r="G51" s="21" t="n"/>
      <c r="H51" s="20" t="n"/>
    </row>
    <row r="52">
      <c r="A52" s="14">
        <f>IF(B52&lt;&gt;"",ROW()-1,"")</f>
        <v/>
      </c>
      <c r="B52" s="15" t="n"/>
      <c r="C52" s="16" t="n"/>
      <c r="D52" s="16" t="n"/>
      <c r="E52" s="16" t="n"/>
      <c r="F52" s="16" t="n"/>
      <c r="G52" s="17" t="n"/>
      <c r="H52" s="16" t="n"/>
    </row>
    <row r="53">
      <c r="A53" s="18">
        <f>IF(B53&lt;&gt;"",ROW()-1,"")</f>
        <v/>
      </c>
      <c r="B53" s="19" t="n"/>
      <c r="C53" s="20" t="n"/>
      <c r="D53" s="20" t="n"/>
      <c r="E53" s="20" t="n"/>
      <c r="F53" s="20" t="n"/>
      <c r="G53" s="21" t="n"/>
      <c r="H53" s="20" t="n"/>
    </row>
    <row r="54">
      <c r="A54" s="14">
        <f>IF(B54&lt;&gt;"",ROW()-1,"")</f>
        <v/>
      </c>
      <c r="B54" s="15" t="n"/>
      <c r="C54" s="16" t="n"/>
      <c r="D54" s="16" t="n"/>
      <c r="E54" s="16" t="n"/>
      <c r="F54" s="16" t="n"/>
      <c r="G54" s="17" t="n"/>
      <c r="H54" s="16" t="n"/>
    </row>
    <row r="55">
      <c r="A55" s="18">
        <f>IF(B55&lt;&gt;"",ROW()-1,"")</f>
        <v/>
      </c>
      <c r="B55" s="19" t="n"/>
      <c r="C55" s="20" t="n"/>
      <c r="D55" s="20" t="n"/>
      <c r="E55" s="20" t="n"/>
      <c r="F55" s="20" t="n"/>
      <c r="G55" s="21" t="n"/>
      <c r="H55" s="20" t="n"/>
    </row>
    <row r="56">
      <c r="A56" s="14">
        <f>IF(B56&lt;&gt;"",ROW()-1,"")</f>
        <v/>
      </c>
      <c r="B56" s="15" t="n"/>
      <c r="C56" s="16" t="n"/>
      <c r="D56" s="16" t="n"/>
      <c r="E56" s="16" t="n"/>
      <c r="F56" s="16" t="n"/>
      <c r="G56" s="17" t="n"/>
      <c r="H56" s="16" t="n"/>
    </row>
    <row r="57">
      <c r="A57" s="18">
        <f>IF(B57&lt;&gt;"",ROW()-1,"")</f>
        <v/>
      </c>
      <c r="B57" s="19" t="n"/>
      <c r="C57" s="20" t="n"/>
      <c r="D57" s="20" t="n"/>
      <c r="E57" s="20" t="n"/>
      <c r="F57" s="20" t="n"/>
      <c r="G57" s="21" t="n"/>
      <c r="H57" s="20" t="n"/>
    </row>
    <row r="58">
      <c r="A58" s="14">
        <f>IF(B58&lt;&gt;"",ROW()-1,"")</f>
        <v/>
      </c>
      <c r="B58" s="15" t="n"/>
      <c r="C58" s="16" t="n"/>
      <c r="D58" s="16" t="n"/>
      <c r="E58" s="16" t="n"/>
      <c r="F58" s="16" t="n"/>
      <c r="G58" s="17" t="n"/>
      <c r="H58" s="16" t="n"/>
    </row>
    <row r="59">
      <c r="A59" s="18">
        <f>IF(B59&lt;&gt;"",ROW()-1,"")</f>
        <v/>
      </c>
      <c r="B59" s="19" t="n"/>
      <c r="C59" s="20" t="n"/>
      <c r="D59" s="20" t="n"/>
      <c r="E59" s="20" t="n"/>
      <c r="F59" s="20" t="n"/>
      <c r="G59" s="21" t="n"/>
      <c r="H59" s="20" t="n"/>
    </row>
    <row r="60">
      <c r="A60" s="14">
        <f>IF(B60&lt;&gt;"",ROW()-1,"")</f>
        <v/>
      </c>
      <c r="B60" s="15" t="n"/>
      <c r="C60" s="16" t="n"/>
      <c r="D60" s="16" t="n"/>
      <c r="E60" s="16" t="n"/>
      <c r="F60" s="16" t="n"/>
      <c r="G60" s="17" t="n"/>
      <c r="H60" s="16" t="n"/>
    </row>
    <row r="61">
      <c r="A61" s="18">
        <f>IF(B61&lt;&gt;"",ROW()-1,"")</f>
        <v/>
      </c>
      <c r="B61" s="19" t="n"/>
      <c r="C61" s="20" t="n"/>
      <c r="D61" s="20" t="n"/>
      <c r="E61" s="20" t="n"/>
      <c r="F61" s="20" t="n"/>
      <c r="G61" s="21" t="n"/>
      <c r="H61" s="20" t="n"/>
    </row>
    <row r="62">
      <c r="A62" s="14">
        <f>IF(B62&lt;&gt;"",ROW()-1,"")</f>
        <v/>
      </c>
      <c r="B62" s="15" t="n"/>
      <c r="C62" s="16" t="n"/>
      <c r="D62" s="16" t="n"/>
      <c r="E62" s="16" t="n"/>
      <c r="F62" s="16" t="n"/>
      <c r="G62" s="17" t="n"/>
      <c r="H62" s="16" t="n"/>
    </row>
    <row r="63">
      <c r="A63" s="18">
        <f>IF(B63&lt;&gt;"",ROW()-1,"")</f>
        <v/>
      </c>
      <c r="B63" s="19" t="n"/>
      <c r="C63" s="20" t="n"/>
      <c r="D63" s="20" t="n"/>
      <c r="E63" s="20" t="n"/>
      <c r="F63" s="20" t="n"/>
      <c r="G63" s="21" t="n"/>
      <c r="H63" s="20" t="n"/>
    </row>
    <row r="64">
      <c r="A64" s="14">
        <f>IF(B64&lt;&gt;"",ROW()-1,"")</f>
        <v/>
      </c>
      <c r="B64" s="15" t="n"/>
      <c r="C64" s="16" t="n"/>
      <c r="D64" s="16" t="n"/>
      <c r="E64" s="16" t="n"/>
      <c r="F64" s="16" t="n"/>
      <c r="G64" s="17" t="n"/>
      <c r="H64" s="16" t="n"/>
    </row>
    <row r="65">
      <c r="A65" s="18">
        <f>IF(B65&lt;&gt;"",ROW()-1,"")</f>
        <v/>
      </c>
      <c r="B65" s="19" t="n"/>
      <c r="C65" s="20" t="n"/>
      <c r="D65" s="20" t="n"/>
      <c r="E65" s="20" t="n"/>
      <c r="F65" s="20" t="n"/>
      <c r="G65" s="21" t="n"/>
      <c r="H65" s="20" t="n"/>
    </row>
    <row r="66">
      <c r="A66" s="14">
        <f>IF(B66&lt;&gt;"",ROW()-1,"")</f>
        <v/>
      </c>
      <c r="B66" s="15" t="n"/>
      <c r="C66" s="16" t="n"/>
      <c r="D66" s="16" t="n"/>
      <c r="E66" s="16" t="n"/>
      <c r="F66" s="16" t="n"/>
      <c r="G66" s="17" t="n"/>
      <c r="H66" s="16" t="n"/>
    </row>
    <row r="67">
      <c r="A67" s="18">
        <f>IF(B67&lt;&gt;"",ROW()-1,"")</f>
        <v/>
      </c>
      <c r="B67" s="19" t="n"/>
      <c r="C67" s="20" t="n"/>
      <c r="D67" s="20" t="n"/>
      <c r="E67" s="20" t="n"/>
      <c r="F67" s="20" t="n"/>
      <c r="G67" s="21" t="n"/>
      <c r="H67" s="20" t="n"/>
    </row>
    <row r="68">
      <c r="A68" s="14">
        <f>IF(B68&lt;&gt;"",ROW()-1,"")</f>
        <v/>
      </c>
      <c r="B68" s="15" t="n"/>
      <c r="C68" s="16" t="n"/>
      <c r="D68" s="16" t="n"/>
      <c r="E68" s="16" t="n"/>
      <c r="F68" s="16" t="n"/>
      <c r="G68" s="17" t="n"/>
      <c r="H68" s="16" t="n"/>
    </row>
    <row r="69">
      <c r="A69" s="18">
        <f>IF(B69&lt;&gt;"",ROW()-1,"")</f>
        <v/>
      </c>
      <c r="B69" s="19" t="n"/>
      <c r="C69" s="20" t="n"/>
      <c r="D69" s="20" t="n"/>
      <c r="E69" s="20" t="n"/>
      <c r="F69" s="20" t="n"/>
      <c r="G69" s="21" t="n"/>
      <c r="H69" s="20" t="n"/>
    </row>
    <row r="70">
      <c r="A70" s="14">
        <f>IF(B70&lt;&gt;"",ROW()-1,"")</f>
        <v/>
      </c>
      <c r="B70" s="15" t="n"/>
      <c r="C70" s="16" t="n"/>
      <c r="D70" s="16" t="n"/>
      <c r="E70" s="16" t="n"/>
      <c r="F70" s="16" t="n"/>
      <c r="G70" s="17" t="n"/>
      <c r="H70" s="16" t="n"/>
    </row>
    <row r="71">
      <c r="A71" s="18">
        <f>IF(B71&lt;&gt;"",ROW()-1,"")</f>
        <v/>
      </c>
      <c r="B71" s="19" t="n"/>
      <c r="C71" s="20" t="n"/>
      <c r="D71" s="20" t="n"/>
      <c r="E71" s="20" t="n"/>
      <c r="F71" s="20" t="n"/>
      <c r="G71" s="21" t="n"/>
      <c r="H71" s="20" t="n"/>
    </row>
    <row r="72">
      <c r="A72" s="14">
        <f>IF(B72&lt;&gt;"",ROW()-1,"")</f>
        <v/>
      </c>
      <c r="B72" s="15" t="n"/>
      <c r="C72" s="16" t="n"/>
      <c r="D72" s="16" t="n"/>
      <c r="E72" s="16" t="n"/>
      <c r="F72" s="16" t="n"/>
      <c r="G72" s="17" t="n"/>
      <c r="H72" s="16" t="n"/>
    </row>
    <row r="73">
      <c r="A73" s="18">
        <f>IF(B73&lt;&gt;"",ROW()-1,"")</f>
        <v/>
      </c>
      <c r="B73" s="19" t="n"/>
      <c r="C73" s="20" t="n"/>
      <c r="D73" s="20" t="n"/>
      <c r="E73" s="20" t="n"/>
      <c r="F73" s="20" t="n"/>
      <c r="G73" s="21" t="n"/>
      <c r="H73" s="20" t="n"/>
    </row>
    <row r="74">
      <c r="A74" s="14">
        <f>IF(B74&lt;&gt;"",ROW()-1,"")</f>
        <v/>
      </c>
      <c r="B74" s="15" t="n"/>
      <c r="C74" s="16" t="n"/>
      <c r="D74" s="16" t="n"/>
      <c r="E74" s="16" t="n"/>
      <c r="F74" s="16" t="n"/>
      <c r="G74" s="17" t="n"/>
      <c r="H74" s="16" t="n"/>
    </row>
    <row r="75">
      <c r="A75" s="18">
        <f>IF(B75&lt;&gt;"",ROW()-1,"")</f>
        <v/>
      </c>
      <c r="B75" s="19" t="n"/>
      <c r="C75" s="20" t="n"/>
      <c r="D75" s="20" t="n"/>
      <c r="E75" s="20" t="n"/>
      <c r="F75" s="20" t="n"/>
      <c r="G75" s="21" t="n"/>
      <c r="H75" s="20" t="n"/>
    </row>
    <row r="76">
      <c r="A76" s="14">
        <f>IF(B76&lt;&gt;"",ROW()-1,"")</f>
        <v/>
      </c>
      <c r="B76" s="15" t="n"/>
      <c r="C76" s="16" t="n"/>
      <c r="D76" s="16" t="n"/>
      <c r="E76" s="16" t="n"/>
      <c r="F76" s="16" t="n"/>
      <c r="G76" s="17" t="n"/>
      <c r="H76" s="16" t="n"/>
    </row>
    <row r="77">
      <c r="A77" s="18">
        <f>IF(B77&lt;&gt;"",ROW()-1,"")</f>
        <v/>
      </c>
      <c r="B77" s="19" t="n"/>
      <c r="C77" s="20" t="n"/>
      <c r="D77" s="20" t="n"/>
      <c r="E77" s="20" t="n"/>
      <c r="F77" s="20" t="n"/>
      <c r="G77" s="21" t="n"/>
      <c r="H77" s="20" t="n"/>
    </row>
    <row r="78">
      <c r="A78" s="14">
        <f>IF(B78&lt;&gt;"",ROW()-1,"")</f>
        <v/>
      </c>
      <c r="B78" s="15" t="n"/>
      <c r="C78" s="16" t="n"/>
      <c r="D78" s="16" t="n"/>
      <c r="E78" s="16" t="n"/>
      <c r="F78" s="16" t="n"/>
      <c r="G78" s="17" t="n"/>
      <c r="H78" s="16" t="n"/>
    </row>
    <row r="79">
      <c r="A79" s="18">
        <f>IF(B79&lt;&gt;"",ROW()-1,"")</f>
        <v/>
      </c>
      <c r="B79" s="19" t="n"/>
      <c r="C79" s="20" t="n"/>
      <c r="D79" s="20" t="n"/>
      <c r="E79" s="20" t="n"/>
      <c r="F79" s="20" t="n"/>
      <c r="G79" s="21" t="n"/>
      <c r="H79" s="20" t="n"/>
    </row>
    <row r="80">
      <c r="A80" s="14">
        <f>IF(B80&lt;&gt;"",ROW()-1,"")</f>
        <v/>
      </c>
      <c r="B80" s="15" t="n"/>
      <c r="C80" s="16" t="n"/>
      <c r="D80" s="16" t="n"/>
      <c r="E80" s="16" t="n"/>
      <c r="F80" s="16" t="n"/>
      <c r="G80" s="17" t="n"/>
      <c r="H80" s="16" t="n"/>
    </row>
    <row r="81">
      <c r="A81" s="18">
        <f>IF(B81&lt;&gt;"",ROW()-1,"")</f>
        <v/>
      </c>
      <c r="B81" s="19" t="n"/>
      <c r="C81" s="20" t="n"/>
      <c r="D81" s="20" t="n"/>
      <c r="E81" s="20" t="n"/>
      <c r="F81" s="20" t="n"/>
      <c r="G81" s="21" t="n"/>
      <c r="H81" s="20" t="n"/>
    </row>
    <row r="82">
      <c r="A82" s="14">
        <f>IF(B82&lt;&gt;"",ROW()-1,"")</f>
        <v/>
      </c>
      <c r="B82" s="15" t="n"/>
      <c r="C82" s="16" t="n"/>
      <c r="D82" s="16" t="n"/>
      <c r="E82" s="16" t="n"/>
      <c r="F82" s="16" t="n"/>
      <c r="G82" s="17" t="n"/>
      <c r="H82" s="16" t="n"/>
    </row>
    <row r="83">
      <c r="A83" s="18">
        <f>IF(B83&lt;&gt;"",ROW()-1,"")</f>
        <v/>
      </c>
      <c r="B83" s="19" t="n"/>
      <c r="C83" s="20" t="n"/>
      <c r="D83" s="20" t="n"/>
      <c r="E83" s="20" t="n"/>
      <c r="F83" s="20" t="n"/>
      <c r="G83" s="21" t="n"/>
      <c r="H83" s="20" t="n"/>
    </row>
    <row r="84">
      <c r="A84" s="14">
        <f>IF(B84&lt;&gt;"",ROW()-1,"")</f>
        <v/>
      </c>
      <c r="B84" s="15" t="n"/>
      <c r="C84" s="16" t="n"/>
      <c r="D84" s="16" t="n"/>
      <c r="E84" s="16" t="n"/>
      <c r="F84" s="16" t="n"/>
      <c r="G84" s="17" t="n"/>
      <c r="H84" s="16" t="n"/>
    </row>
    <row r="85">
      <c r="A85" s="18">
        <f>IF(B85&lt;&gt;"",ROW()-1,"")</f>
        <v/>
      </c>
      <c r="B85" s="19" t="n"/>
      <c r="C85" s="20" t="n"/>
      <c r="D85" s="20" t="n"/>
      <c r="E85" s="20" t="n"/>
      <c r="F85" s="20" t="n"/>
      <c r="G85" s="21" t="n"/>
      <c r="H85" s="20" t="n"/>
    </row>
    <row r="86">
      <c r="A86" s="14">
        <f>IF(B86&lt;&gt;"",ROW()-1,"")</f>
        <v/>
      </c>
      <c r="B86" s="15" t="n"/>
      <c r="C86" s="16" t="n"/>
      <c r="D86" s="16" t="n"/>
      <c r="E86" s="16" t="n"/>
      <c r="F86" s="16" t="n"/>
      <c r="G86" s="17" t="n"/>
      <c r="H86" s="16" t="n"/>
    </row>
    <row r="87">
      <c r="A87" s="18">
        <f>IF(B87&lt;&gt;"",ROW()-1,"")</f>
        <v/>
      </c>
      <c r="B87" s="19" t="n"/>
      <c r="C87" s="20" t="n"/>
      <c r="D87" s="20" t="n"/>
      <c r="E87" s="20" t="n"/>
      <c r="F87" s="20" t="n"/>
      <c r="G87" s="21" t="n"/>
      <c r="H87" s="20" t="n"/>
    </row>
    <row r="88">
      <c r="A88" s="14">
        <f>IF(B88&lt;&gt;"",ROW()-1,"")</f>
        <v/>
      </c>
      <c r="B88" s="15" t="n"/>
      <c r="C88" s="16" t="n"/>
      <c r="D88" s="16" t="n"/>
      <c r="E88" s="16" t="n"/>
      <c r="F88" s="16" t="n"/>
      <c r="G88" s="17" t="n"/>
      <c r="H88" s="16" t="n"/>
    </row>
    <row r="89">
      <c r="A89" s="18">
        <f>IF(B89&lt;&gt;"",ROW()-1,"")</f>
        <v/>
      </c>
      <c r="B89" s="19" t="n"/>
      <c r="C89" s="20" t="n"/>
      <c r="D89" s="20" t="n"/>
      <c r="E89" s="20" t="n"/>
      <c r="F89" s="20" t="n"/>
      <c r="G89" s="21" t="n"/>
      <c r="H89" s="20" t="n"/>
    </row>
    <row r="90">
      <c r="A90" s="14">
        <f>IF(B90&lt;&gt;"",ROW()-1,"")</f>
        <v/>
      </c>
      <c r="B90" s="15" t="n"/>
      <c r="C90" s="16" t="n"/>
      <c r="D90" s="16" t="n"/>
      <c r="E90" s="16" t="n"/>
      <c r="F90" s="16" t="n"/>
      <c r="G90" s="17" t="n"/>
      <c r="H90" s="16" t="n"/>
    </row>
    <row r="91">
      <c r="A91" s="18">
        <f>IF(B91&lt;&gt;"",ROW()-1,"")</f>
        <v/>
      </c>
      <c r="B91" s="19" t="n"/>
      <c r="C91" s="20" t="n"/>
      <c r="D91" s="20" t="n"/>
      <c r="E91" s="20" t="n"/>
      <c r="F91" s="20" t="n"/>
      <c r="G91" s="21" t="n"/>
      <c r="H91" s="20" t="n"/>
    </row>
    <row r="92">
      <c r="A92" s="14">
        <f>IF(B92&lt;&gt;"",ROW()-1,"")</f>
        <v/>
      </c>
      <c r="B92" s="15" t="n"/>
      <c r="C92" s="16" t="n"/>
      <c r="D92" s="16" t="n"/>
      <c r="E92" s="16" t="n"/>
      <c r="F92" s="16" t="n"/>
      <c r="G92" s="17" t="n"/>
      <c r="H92" s="16" t="n"/>
    </row>
    <row r="93">
      <c r="A93" s="18">
        <f>IF(B93&lt;&gt;"",ROW()-1,"")</f>
        <v/>
      </c>
      <c r="B93" s="19" t="n"/>
      <c r="C93" s="20" t="n"/>
      <c r="D93" s="20" t="n"/>
      <c r="E93" s="20" t="n"/>
      <c r="F93" s="20" t="n"/>
      <c r="G93" s="21" t="n"/>
      <c r="H93" s="20" t="n"/>
    </row>
    <row r="94">
      <c r="A94" s="14">
        <f>IF(B94&lt;&gt;"",ROW()-1,"")</f>
        <v/>
      </c>
      <c r="B94" s="15" t="n"/>
      <c r="C94" s="16" t="n"/>
      <c r="D94" s="16" t="n"/>
      <c r="E94" s="16" t="n"/>
      <c r="F94" s="16" t="n"/>
      <c r="G94" s="17" t="n"/>
      <c r="H94" s="16" t="n"/>
    </row>
    <row r="95">
      <c r="A95" s="18">
        <f>IF(B95&lt;&gt;"",ROW()-1,"")</f>
        <v/>
      </c>
      <c r="B95" s="19" t="n"/>
      <c r="C95" s="20" t="n"/>
      <c r="D95" s="20" t="n"/>
      <c r="E95" s="20" t="n"/>
      <c r="F95" s="20" t="n"/>
      <c r="G95" s="21" t="n"/>
      <c r="H95" s="20" t="n"/>
    </row>
    <row r="96">
      <c r="A96" s="14">
        <f>IF(B96&lt;&gt;"",ROW()-1,"")</f>
        <v/>
      </c>
      <c r="B96" s="15" t="n"/>
      <c r="C96" s="16" t="n"/>
      <c r="D96" s="16" t="n"/>
      <c r="E96" s="16" t="n"/>
      <c r="F96" s="16" t="n"/>
      <c r="G96" s="17" t="n"/>
      <c r="H96" s="16" t="n"/>
    </row>
    <row r="97">
      <c r="A97" s="18">
        <f>IF(B97&lt;&gt;"",ROW()-1,"")</f>
        <v/>
      </c>
      <c r="B97" s="19" t="n"/>
      <c r="C97" s="20" t="n"/>
      <c r="D97" s="20" t="n"/>
      <c r="E97" s="20" t="n"/>
      <c r="F97" s="20" t="n"/>
      <c r="G97" s="21" t="n"/>
      <c r="H97" s="20" t="n"/>
    </row>
    <row r="98">
      <c r="A98" s="14">
        <f>IF(B98&lt;&gt;"",ROW()-1,"")</f>
        <v/>
      </c>
      <c r="B98" s="15" t="n"/>
      <c r="C98" s="16" t="n"/>
      <c r="D98" s="16" t="n"/>
      <c r="E98" s="16" t="n"/>
      <c r="F98" s="16" t="n"/>
      <c r="G98" s="17" t="n"/>
      <c r="H98" s="16" t="n"/>
    </row>
    <row r="99">
      <c r="A99" s="18">
        <f>IF(B99&lt;&gt;"",ROW()-1,"")</f>
        <v/>
      </c>
      <c r="B99" s="19" t="n"/>
      <c r="C99" s="20" t="n"/>
      <c r="D99" s="20" t="n"/>
      <c r="E99" s="20" t="n"/>
      <c r="F99" s="20" t="n"/>
      <c r="G99" s="21" t="n"/>
      <c r="H99" s="20" t="n"/>
    </row>
    <row r="100">
      <c r="A100" s="14">
        <f>IF(B100&lt;&gt;"",ROW()-1,"")</f>
        <v/>
      </c>
      <c r="B100" s="15" t="n"/>
      <c r="C100" s="16" t="n"/>
      <c r="D100" s="16" t="n"/>
      <c r="E100" s="16" t="n"/>
      <c r="F100" s="16" t="n"/>
      <c r="G100" s="17" t="n"/>
      <c r="H100" s="16" t="n"/>
    </row>
    <row r="101">
      <c r="A101" s="18">
        <f>IF(B101&lt;&gt;"",ROW()-1,"")</f>
        <v/>
      </c>
      <c r="B101" s="19" t="n"/>
      <c r="C101" s="20" t="n"/>
      <c r="D101" s="20" t="n"/>
      <c r="E101" s="20" t="n"/>
      <c r="F101" s="20" t="n"/>
      <c r="G101" s="21" t="n"/>
      <c r="H101" s="20" t="n"/>
    </row>
    <row r="102">
      <c r="A102" s="14">
        <f>IF(B102&lt;&gt;"",ROW()-1,"")</f>
        <v/>
      </c>
      <c r="B102" s="15" t="n"/>
      <c r="C102" s="16" t="n"/>
      <c r="D102" s="16" t="n"/>
      <c r="E102" s="16" t="n"/>
      <c r="F102" s="16" t="n"/>
      <c r="G102" s="17" t="n"/>
      <c r="H102" s="16" t="n"/>
    </row>
    <row r="103">
      <c r="A103" s="18">
        <f>IF(B103&lt;&gt;"",ROW()-1,"")</f>
        <v/>
      </c>
      <c r="B103" s="19" t="n"/>
      <c r="C103" s="20" t="n"/>
      <c r="D103" s="20" t="n"/>
      <c r="E103" s="20" t="n"/>
      <c r="F103" s="20" t="n"/>
      <c r="G103" s="21" t="n"/>
      <c r="H103" s="20" t="n"/>
    </row>
    <row r="104">
      <c r="A104" s="14">
        <f>IF(B104&lt;&gt;"",ROW()-1,"")</f>
        <v/>
      </c>
      <c r="B104" s="15" t="n"/>
      <c r="C104" s="16" t="n"/>
      <c r="D104" s="16" t="n"/>
      <c r="E104" s="16" t="n"/>
      <c r="F104" s="16" t="n"/>
      <c r="G104" s="17" t="n"/>
      <c r="H104" s="16" t="n"/>
    </row>
    <row r="105">
      <c r="A105" s="18">
        <f>IF(B105&lt;&gt;"",ROW()-1,"")</f>
        <v/>
      </c>
      <c r="B105" s="19" t="n"/>
      <c r="C105" s="20" t="n"/>
      <c r="D105" s="20" t="n"/>
      <c r="E105" s="20" t="n"/>
      <c r="F105" s="20" t="n"/>
      <c r="G105" s="21" t="n"/>
      <c r="H105" s="20" t="n"/>
    </row>
    <row r="106">
      <c r="A106" s="14">
        <f>IF(B106&lt;&gt;"",ROW()-1,"")</f>
        <v/>
      </c>
      <c r="B106" s="15" t="n"/>
      <c r="C106" s="16" t="n"/>
      <c r="D106" s="16" t="n"/>
      <c r="E106" s="16" t="n"/>
      <c r="F106" s="16" t="n"/>
      <c r="G106" s="17" t="n"/>
      <c r="H106" s="16" t="n"/>
    </row>
    <row r="107">
      <c r="A107" s="18">
        <f>IF(B107&lt;&gt;"",ROW()-1,"")</f>
        <v/>
      </c>
      <c r="B107" s="19" t="n"/>
      <c r="C107" s="20" t="n"/>
      <c r="D107" s="20" t="n"/>
      <c r="E107" s="20" t="n"/>
      <c r="F107" s="20" t="n"/>
      <c r="G107" s="21" t="n"/>
      <c r="H107" s="20" t="n"/>
    </row>
    <row r="108">
      <c r="A108" s="14">
        <f>IF(B108&lt;&gt;"",ROW()-1,"")</f>
        <v/>
      </c>
      <c r="B108" s="15" t="n"/>
      <c r="C108" s="16" t="n"/>
      <c r="D108" s="16" t="n"/>
      <c r="E108" s="16" t="n"/>
      <c r="F108" s="16" t="n"/>
      <c r="G108" s="17" t="n"/>
      <c r="H108" s="16" t="n"/>
    </row>
    <row r="109">
      <c r="A109" s="18">
        <f>IF(B109&lt;&gt;"",ROW()-1,"")</f>
        <v/>
      </c>
      <c r="B109" s="19" t="n"/>
      <c r="C109" s="20" t="n"/>
      <c r="D109" s="20" t="n"/>
      <c r="E109" s="20" t="n"/>
      <c r="F109" s="20" t="n"/>
      <c r="G109" s="21" t="n"/>
      <c r="H109" s="20" t="n"/>
    </row>
    <row r="110">
      <c r="A110" s="14">
        <f>IF(B110&lt;&gt;"",ROW()-1,"")</f>
        <v/>
      </c>
      <c r="B110" s="15" t="n"/>
      <c r="C110" s="16" t="n"/>
      <c r="D110" s="16" t="n"/>
      <c r="E110" s="16" t="n"/>
      <c r="F110" s="16" t="n"/>
      <c r="G110" s="17" t="n"/>
      <c r="H110" s="16" t="n"/>
    </row>
    <row r="111">
      <c r="A111" s="18">
        <f>IF(B111&lt;&gt;"",ROW()-1,"")</f>
        <v/>
      </c>
      <c r="B111" s="19" t="n"/>
      <c r="C111" s="20" t="n"/>
      <c r="D111" s="20" t="n"/>
      <c r="E111" s="20" t="n"/>
      <c r="F111" s="20" t="n"/>
      <c r="G111" s="21" t="n"/>
      <c r="H111" s="20" t="n"/>
    </row>
    <row r="112">
      <c r="A112" s="14">
        <f>IF(B112&lt;&gt;"",ROW()-1,"")</f>
        <v/>
      </c>
      <c r="B112" s="15" t="n"/>
      <c r="C112" s="16" t="n"/>
      <c r="D112" s="16" t="n"/>
      <c r="E112" s="16" t="n"/>
      <c r="F112" s="16" t="n"/>
      <c r="G112" s="17" t="n"/>
      <c r="H112" s="16" t="n"/>
    </row>
    <row r="113">
      <c r="A113" s="18">
        <f>IF(B113&lt;&gt;"",ROW()-1,"")</f>
        <v/>
      </c>
      <c r="B113" s="19" t="n"/>
      <c r="C113" s="20" t="n"/>
      <c r="D113" s="20" t="n"/>
      <c r="E113" s="20" t="n"/>
      <c r="F113" s="20" t="n"/>
      <c r="G113" s="21" t="n"/>
      <c r="H113" s="20" t="n"/>
    </row>
    <row r="114">
      <c r="A114" s="14">
        <f>IF(B114&lt;&gt;"",ROW()-1,"")</f>
        <v/>
      </c>
      <c r="B114" s="15" t="n"/>
      <c r="C114" s="16" t="n"/>
      <c r="D114" s="16" t="n"/>
      <c r="E114" s="16" t="n"/>
      <c r="F114" s="16" t="n"/>
      <c r="G114" s="17" t="n"/>
      <c r="H114" s="16" t="n"/>
    </row>
    <row r="115">
      <c r="A115" s="18">
        <f>IF(B115&lt;&gt;"",ROW()-1,"")</f>
        <v/>
      </c>
      <c r="B115" s="19" t="n"/>
      <c r="C115" s="20" t="n"/>
      <c r="D115" s="20" t="n"/>
      <c r="E115" s="20" t="n"/>
      <c r="F115" s="20" t="n"/>
      <c r="G115" s="21" t="n"/>
      <c r="H115" s="20" t="n"/>
    </row>
    <row r="116">
      <c r="A116" s="14">
        <f>IF(B116&lt;&gt;"",ROW()-1,"")</f>
        <v/>
      </c>
      <c r="B116" s="15" t="n"/>
      <c r="C116" s="16" t="n"/>
      <c r="D116" s="16" t="n"/>
      <c r="E116" s="16" t="n"/>
      <c r="F116" s="16" t="n"/>
      <c r="G116" s="17" t="n"/>
      <c r="H116" s="16" t="n"/>
    </row>
    <row r="117">
      <c r="A117" s="18">
        <f>IF(B117&lt;&gt;"",ROW()-1,"")</f>
        <v/>
      </c>
      <c r="B117" s="19" t="n"/>
      <c r="C117" s="20" t="n"/>
      <c r="D117" s="20" t="n"/>
      <c r="E117" s="20" t="n"/>
      <c r="F117" s="20" t="n"/>
      <c r="G117" s="21" t="n"/>
      <c r="H117" s="20" t="n"/>
    </row>
    <row r="118">
      <c r="A118" s="14">
        <f>IF(B118&lt;&gt;"",ROW()-1,"")</f>
        <v/>
      </c>
      <c r="B118" s="15" t="n"/>
      <c r="C118" s="16" t="n"/>
      <c r="D118" s="16" t="n"/>
      <c r="E118" s="16" t="n"/>
      <c r="F118" s="16" t="n"/>
      <c r="G118" s="17" t="n"/>
      <c r="H118" s="16" t="n"/>
    </row>
    <row r="119">
      <c r="A119" s="18">
        <f>IF(B119&lt;&gt;"",ROW()-1,"")</f>
        <v/>
      </c>
      <c r="B119" s="19" t="n"/>
      <c r="C119" s="20" t="n"/>
      <c r="D119" s="20" t="n"/>
      <c r="E119" s="20" t="n"/>
      <c r="F119" s="20" t="n"/>
      <c r="G119" s="21" t="n"/>
      <c r="H119" s="20" t="n"/>
    </row>
    <row r="120">
      <c r="A120" s="14">
        <f>IF(B120&lt;&gt;"",ROW()-1,"")</f>
        <v/>
      </c>
      <c r="B120" s="15" t="n"/>
      <c r="C120" s="16" t="n"/>
      <c r="D120" s="16" t="n"/>
      <c r="E120" s="16" t="n"/>
      <c r="F120" s="16" t="n"/>
      <c r="G120" s="17" t="n"/>
      <c r="H120" s="16" t="n"/>
    </row>
    <row r="121">
      <c r="A121" s="18">
        <f>IF(B121&lt;&gt;"",ROW()-1,"")</f>
        <v/>
      </c>
      <c r="B121" s="19" t="n"/>
      <c r="C121" s="20" t="n"/>
      <c r="D121" s="20" t="n"/>
      <c r="E121" s="20" t="n"/>
      <c r="F121" s="20" t="n"/>
      <c r="G121" s="21" t="n"/>
      <c r="H121" s="20" t="n"/>
    </row>
    <row r="122">
      <c r="A122" s="14">
        <f>IF(B122&lt;&gt;"",ROW()-1,"")</f>
        <v/>
      </c>
      <c r="B122" s="15" t="n"/>
      <c r="C122" s="16" t="n"/>
      <c r="D122" s="16" t="n"/>
      <c r="E122" s="16" t="n"/>
      <c r="F122" s="16" t="n"/>
      <c r="G122" s="17" t="n"/>
      <c r="H122" s="16" t="n"/>
    </row>
    <row r="123">
      <c r="A123" s="18">
        <f>IF(B123&lt;&gt;"",ROW()-1,"")</f>
        <v/>
      </c>
      <c r="B123" s="19" t="n"/>
      <c r="C123" s="20" t="n"/>
      <c r="D123" s="20" t="n"/>
      <c r="E123" s="20" t="n"/>
      <c r="F123" s="20" t="n"/>
      <c r="G123" s="21" t="n"/>
      <c r="H123" s="20" t="n"/>
    </row>
    <row r="124">
      <c r="A124" s="14">
        <f>IF(B124&lt;&gt;"",ROW()-1,"")</f>
        <v/>
      </c>
      <c r="B124" s="15" t="n"/>
      <c r="C124" s="16" t="n"/>
      <c r="D124" s="16" t="n"/>
      <c r="E124" s="16" t="n"/>
      <c r="F124" s="16" t="n"/>
      <c r="G124" s="17" t="n"/>
      <c r="H124" s="16" t="n"/>
    </row>
    <row r="125">
      <c r="A125" s="18">
        <f>IF(B125&lt;&gt;"",ROW()-1,"")</f>
        <v/>
      </c>
      <c r="B125" s="19" t="n"/>
      <c r="C125" s="20" t="n"/>
      <c r="D125" s="20" t="n"/>
      <c r="E125" s="20" t="n"/>
      <c r="F125" s="20" t="n"/>
      <c r="G125" s="21" t="n"/>
      <c r="H125" s="20" t="n"/>
    </row>
    <row r="126">
      <c r="A126" s="14">
        <f>IF(B126&lt;&gt;"",ROW()-1,"")</f>
        <v/>
      </c>
      <c r="B126" s="15" t="n"/>
      <c r="C126" s="16" t="n"/>
      <c r="D126" s="16" t="n"/>
      <c r="E126" s="16" t="n"/>
      <c r="F126" s="16" t="n"/>
      <c r="G126" s="17" t="n"/>
      <c r="H126" s="16" t="n"/>
    </row>
    <row r="127">
      <c r="A127" s="18">
        <f>IF(B127&lt;&gt;"",ROW()-1,"")</f>
        <v/>
      </c>
      <c r="B127" s="19" t="n"/>
      <c r="C127" s="20" t="n"/>
      <c r="D127" s="20" t="n"/>
      <c r="E127" s="20" t="n"/>
      <c r="F127" s="20" t="n"/>
      <c r="G127" s="21" t="n"/>
      <c r="H127" s="20" t="n"/>
    </row>
    <row r="128">
      <c r="A128" s="14">
        <f>IF(B128&lt;&gt;"",ROW()-1,"")</f>
        <v/>
      </c>
      <c r="B128" s="15" t="n"/>
      <c r="C128" s="16" t="n"/>
      <c r="D128" s="16" t="n"/>
      <c r="E128" s="16" t="n"/>
      <c r="F128" s="16" t="n"/>
      <c r="G128" s="17" t="n"/>
      <c r="H128" s="16" t="n"/>
    </row>
    <row r="129">
      <c r="A129" s="18">
        <f>IF(B129&lt;&gt;"",ROW()-1,"")</f>
        <v/>
      </c>
      <c r="B129" s="19" t="n"/>
      <c r="C129" s="20" t="n"/>
      <c r="D129" s="20" t="n"/>
      <c r="E129" s="20" t="n"/>
      <c r="F129" s="20" t="n"/>
      <c r="G129" s="21" t="n"/>
      <c r="H129" s="20" t="n"/>
    </row>
    <row r="130">
      <c r="A130" s="14">
        <f>IF(B130&lt;&gt;"",ROW()-1,"")</f>
        <v/>
      </c>
      <c r="B130" s="15" t="n"/>
      <c r="C130" s="16" t="n"/>
      <c r="D130" s="16" t="n"/>
      <c r="E130" s="16" t="n"/>
      <c r="F130" s="16" t="n"/>
      <c r="G130" s="17" t="n"/>
      <c r="H130" s="16" t="n"/>
    </row>
    <row r="131">
      <c r="A131" s="18">
        <f>IF(B131&lt;&gt;"",ROW()-1,"")</f>
        <v/>
      </c>
      <c r="B131" s="19" t="n"/>
      <c r="C131" s="20" t="n"/>
      <c r="D131" s="20" t="n"/>
      <c r="E131" s="20" t="n"/>
      <c r="F131" s="20" t="n"/>
      <c r="G131" s="21" t="n"/>
      <c r="H131" s="20" t="n"/>
    </row>
    <row r="132">
      <c r="A132" s="14">
        <f>IF(B132&lt;&gt;"",ROW()-1,"")</f>
        <v/>
      </c>
      <c r="B132" s="15" t="n"/>
      <c r="C132" s="16" t="n"/>
      <c r="D132" s="16" t="n"/>
      <c r="E132" s="16" t="n"/>
      <c r="F132" s="16" t="n"/>
      <c r="G132" s="17" t="n"/>
      <c r="H132" s="16" t="n"/>
    </row>
    <row r="133">
      <c r="A133" s="18">
        <f>IF(B133&lt;&gt;"",ROW()-1,"")</f>
        <v/>
      </c>
      <c r="B133" s="19" t="n"/>
      <c r="C133" s="20" t="n"/>
      <c r="D133" s="20" t="n"/>
      <c r="E133" s="20" t="n"/>
      <c r="F133" s="20" t="n"/>
      <c r="G133" s="21" t="n"/>
      <c r="H133" s="20" t="n"/>
    </row>
    <row r="134">
      <c r="A134" s="14">
        <f>IF(B134&lt;&gt;"",ROW()-1,"")</f>
        <v/>
      </c>
      <c r="B134" s="15" t="n"/>
      <c r="C134" s="16" t="n"/>
      <c r="D134" s="16" t="n"/>
      <c r="E134" s="16" t="n"/>
      <c r="F134" s="16" t="n"/>
      <c r="G134" s="17" t="n"/>
      <c r="H134" s="16" t="n"/>
    </row>
    <row r="135">
      <c r="A135" s="18">
        <f>IF(B135&lt;&gt;"",ROW()-1,"")</f>
        <v/>
      </c>
      <c r="B135" s="19" t="n"/>
      <c r="C135" s="20" t="n"/>
      <c r="D135" s="20" t="n"/>
      <c r="E135" s="20" t="n"/>
      <c r="F135" s="20" t="n"/>
      <c r="G135" s="21" t="n"/>
      <c r="H135" s="20" t="n"/>
    </row>
    <row r="136">
      <c r="A136" s="14">
        <f>IF(B136&lt;&gt;"",ROW()-1,"")</f>
        <v/>
      </c>
      <c r="B136" s="15" t="n"/>
      <c r="C136" s="16" t="n"/>
      <c r="D136" s="16" t="n"/>
      <c r="E136" s="16" t="n"/>
      <c r="F136" s="16" t="n"/>
      <c r="G136" s="17" t="n"/>
      <c r="H136" s="16" t="n"/>
    </row>
    <row r="137">
      <c r="A137" s="18">
        <f>IF(B137&lt;&gt;"",ROW()-1,"")</f>
        <v/>
      </c>
      <c r="B137" s="19" t="n"/>
      <c r="C137" s="20" t="n"/>
      <c r="D137" s="20" t="n"/>
      <c r="E137" s="20" t="n"/>
      <c r="F137" s="20" t="n"/>
      <c r="G137" s="21" t="n"/>
      <c r="H137" s="20" t="n"/>
    </row>
    <row r="138">
      <c r="A138" s="14">
        <f>IF(B138&lt;&gt;"",ROW()-1,"")</f>
        <v/>
      </c>
      <c r="B138" s="15" t="n"/>
      <c r="C138" s="16" t="n"/>
      <c r="D138" s="16" t="n"/>
      <c r="E138" s="16" t="n"/>
      <c r="F138" s="16" t="n"/>
      <c r="G138" s="17" t="n"/>
      <c r="H138" s="16" t="n"/>
    </row>
    <row r="139">
      <c r="A139" s="18">
        <f>IF(B139&lt;&gt;"",ROW()-1,"")</f>
        <v/>
      </c>
      <c r="B139" s="19" t="n"/>
      <c r="C139" s="20" t="n"/>
      <c r="D139" s="20" t="n"/>
      <c r="E139" s="20" t="n"/>
      <c r="F139" s="20" t="n"/>
      <c r="G139" s="21" t="n"/>
      <c r="H139" s="20" t="n"/>
    </row>
    <row r="140">
      <c r="A140" s="14">
        <f>IF(B140&lt;&gt;"",ROW()-1,"")</f>
        <v/>
      </c>
      <c r="B140" s="15" t="n"/>
      <c r="C140" s="16" t="n"/>
      <c r="D140" s="16" t="n"/>
      <c r="E140" s="16" t="n"/>
      <c r="F140" s="16" t="n"/>
      <c r="G140" s="17" t="n"/>
      <c r="H140" s="16" t="n"/>
    </row>
    <row r="141">
      <c r="A141" s="18">
        <f>IF(B141&lt;&gt;"",ROW()-1,"")</f>
        <v/>
      </c>
      <c r="B141" s="19" t="n"/>
      <c r="C141" s="20" t="n"/>
      <c r="D141" s="20" t="n"/>
      <c r="E141" s="20" t="n"/>
      <c r="F141" s="20" t="n"/>
      <c r="G141" s="21" t="n"/>
      <c r="H141" s="20" t="n"/>
    </row>
    <row r="142">
      <c r="A142" s="14">
        <f>IF(B142&lt;&gt;"",ROW()-1,"")</f>
        <v/>
      </c>
      <c r="B142" s="15" t="n"/>
      <c r="C142" s="16" t="n"/>
      <c r="D142" s="16" t="n"/>
      <c r="E142" s="16" t="n"/>
      <c r="F142" s="16" t="n"/>
      <c r="G142" s="17" t="n"/>
      <c r="H142" s="16" t="n"/>
    </row>
    <row r="143">
      <c r="A143" s="18">
        <f>IF(B143&lt;&gt;"",ROW()-1,"")</f>
        <v/>
      </c>
      <c r="B143" s="19" t="n"/>
      <c r="C143" s="20" t="n"/>
      <c r="D143" s="20" t="n"/>
      <c r="E143" s="20" t="n"/>
      <c r="F143" s="20" t="n"/>
      <c r="G143" s="21" t="n"/>
      <c r="H143" s="20" t="n"/>
    </row>
    <row r="144">
      <c r="A144" s="14">
        <f>IF(B144&lt;&gt;"",ROW()-1,"")</f>
        <v/>
      </c>
      <c r="B144" s="15" t="n"/>
      <c r="C144" s="16" t="n"/>
      <c r="D144" s="16" t="n"/>
      <c r="E144" s="16" t="n"/>
      <c r="F144" s="16" t="n"/>
      <c r="G144" s="17" t="n"/>
      <c r="H144" s="16" t="n"/>
    </row>
    <row r="145">
      <c r="A145" s="18">
        <f>IF(B145&lt;&gt;"",ROW()-1,"")</f>
        <v/>
      </c>
      <c r="B145" s="19" t="n"/>
      <c r="C145" s="20" t="n"/>
      <c r="D145" s="20" t="n"/>
      <c r="E145" s="20" t="n"/>
      <c r="F145" s="20" t="n"/>
      <c r="G145" s="21" t="n"/>
      <c r="H145" s="20" t="n"/>
    </row>
    <row r="146">
      <c r="A146" s="14">
        <f>IF(B146&lt;&gt;"",ROW()-1,"")</f>
        <v/>
      </c>
      <c r="B146" s="15" t="n"/>
      <c r="C146" s="16" t="n"/>
      <c r="D146" s="16" t="n"/>
      <c r="E146" s="16" t="n"/>
      <c r="F146" s="16" t="n"/>
      <c r="G146" s="17" t="n"/>
      <c r="H146" s="16" t="n"/>
    </row>
    <row r="147">
      <c r="A147" s="18">
        <f>IF(B147&lt;&gt;"",ROW()-1,"")</f>
        <v/>
      </c>
      <c r="B147" s="19" t="n"/>
      <c r="C147" s="20" t="n"/>
      <c r="D147" s="20" t="n"/>
      <c r="E147" s="20" t="n"/>
      <c r="F147" s="20" t="n"/>
      <c r="G147" s="21" t="n"/>
      <c r="H147" s="20" t="n"/>
    </row>
    <row r="148">
      <c r="A148" s="14">
        <f>IF(B148&lt;&gt;"",ROW()-1,"")</f>
        <v/>
      </c>
      <c r="B148" s="15" t="n"/>
      <c r="C148" s="16" t="n"/>
      <c r="D148" s="16" t="n"/>
      <c r="E148" s="16" t="n"/>
      <c r="F148" s="16" t="n"/>
      <c r="G148" s="17" t="n"/>
      <c r="H148" s="16" t="n"/>
    </row>
    <row r="149">
      <c r="A149" s="18">
        <f>IF(B149&lt;&gt;"",ROW()-1,"")</f>
        <v/>
      </c>
      <c r="B149" s="19" t="n"/>
      <c r="C149" s="20" t="n"/>
      <c r="D149" s="20" t="n"/>
      <c r="E149" s="20" t="n"/>
      <c r="F149" s="20" t="n"/>
      <c r="G149" s="21" t="n"/>
      <c r="H149" s="20" t="n"/>
    </row>
    <row r="150">
      <c r="A150" s="14">
        <f>IF(B150&lt;&gt;"",ROW()-1,"")</f>
        <v/>
      </c>
      <c r="B150" s="15" t="n"/>
      <c r="C150" s="16" t="n"/>
      <c r="D150" s="16" t="n"/>
      <c r="E150" s="16" t="n"/>
      <c r="F150" s="16" t="n"/>
      <c r="G150" s="17" t="n"/>
      <c r="H150" s="16" t="n"/>
    </row>
    <row r="151">
      <c r="A151" s="18">
        <f>IF(B151&lt;&gt;"",ROW()-1,"")</f>
        <v/>
      </c>
      <c r="B151" s="19" t="n"/>
      <c r="C151" s="20" t="n"/>
      <c r="D151" s="20" t="n"/>
      <c r="E151" s="20" t="n"/>
      <c r="F151" s="20" t="n"/>
      <c r="G151" s="21" t="n"/>
      <c r="H151" s="20" t="n"/>
    </row>
    <row r="152">
      <c r="A152" s="14">
        <f>IF(B152&lt;&gt;"",ROW()-1,"")</f>
        <v/>
      </c>
      <c r="B152" s="15" t="n"/>
      <c r="C152" s="16" t="n"/>
      <c r="D152" s="16" t="n"/>
      <c r="E152" s="16" t="n"/>
      <c r="F152" s="16" t="n"/>
      <c r="G152" s="17" t="n"/>
      <c r="H152" s="16" t="n"/>
    </row>
    <row r="153">
      <c r="A153" s="18">
        <f>IF(B153&lt;&gt;"",ROW()-1,"")</f>
        <v/>
      </c>
      <c r="B153" s="19" t="n"/>
      <c r="C153" s="20" t="n"/>
      <c r="D153" s="20" t="n"/>
      <c r="E153" s="20" t="n"/>
      <c r="F153" s="20" t="n"/>
      <c r="G153" s="21" t="n"/>
      <c r="H153" s="20" t="n"/>
    </row>
    <row r="154">
      <c r="A154" s="14">
        <f>IF(B154&lt;&gt;"",ROW()-1,"")</f>
        <v/>
      </c>
      <c r="B154" s="15" t="n"/>
      <c r="C154" s="16" t="n"/>
      <c r="D154" s="16" t="n"/>
      <c r="E154" s="16" t="n"/>
      <c r="F154" s="16" t="n"/>
      <c r="G154" s="17" t="n"/>
      <c r="H154" s="16" t="n"/>
    </row>
    <row r="155">
      <c r="A155" s="18">
        <f>IF(B155&lt;&gt;"",ROW()-1,"")</f>
        <v/>
      </c>
      <c r="B155" s="19" t="n"/>
      <c r="C155" s="20" t="n"/>
      <c r="D155" s="20" t="n"/>
      <c r="E155" s="20" t="n"/>
      <c r="F155" s="20" t="n"/>
      <c r="G155" s="21" t="n"/>
      <c r="H155" s="20" t="n"/>
    </row>
    <row r="156">
      <c r="A156" s="14">
        <f>IF(B156&lt;&gt;"",ROW()-1,"")</f>
        <v/>
      </c>
      <c r="B156" s="15" t="n"/>
      <c r="C156" s="16" t="n"/>
      <c r="D156" s="16" t="n"/>
      <c r="E156" s="16" t="n"/>
      <c r="F156" s="16" t="n"/>
      <c r="G156" s="17" t="n"/>
      <c r="H156" s="16" t="n"/>
    </row>
    <row r="157">
      <c r="A157" s="18">
        <f>IF(B157&lt;&gt;"",ROW()-1,"")</f>
        <v/>
      </c>
      <c r="B157" s="19" t="n"/>
      <c r="C157" s="20" t="n"/>
      <c r="D157" s="20" t="n"/>
      <c r="E157" s="20" t="n"/>
      <c r="F157" s="20" t="n"/>
      <c r="G157" s="21" t="n"/>
      <c r="H157" s="20" t="n"/>
    </row>
    <row r="158">
      <c r="A158" s="14">
        <f>IF(B158&lt;&gt;"",ROW()-1,"")</f>
        <v/>
      </c>
      <c r="B158" s="15" t="n"/>
      <c r="C158" s="16" t="n"/>
      <c r="D158" s="16" t="n"/>
      <c r="E158" s="16" t="n"/>
      <c r="F158" s="16" t="n"/>
      <c r="G158" s="17" t="n"/>
      <c r="H158" s="16" t="n"/>
    </row>
    <row r="159">
      <c r="A159" s="18">
        <f>IF(B159&lt;&gt;"",ROW()-1,"")</f>
        <v/>
      </c>
      <c r="B159" s="19" t="n"/>
      <c r="C159" s="20" t="n"/>
      <c r="D159" s="20" t="n"/>
      <c r="E159" s="20" t="n"/>
      <c r="F159" s="20" t="n"/>
      <c r="G159" s="21" t="n"/>
      <c r="H159" s="20" t="n"/>
    </row>
    <row r="160">
      <c r="A160" s="14">
        <f>IF(B160&lt;&gt;"",ROW()-1,"")</f>
        <v/>
      </c>
      <c r="B160" s="15" t="n"/>
      <c r="C160" s="16" t="n"/>
      <c r="D160" s="16" t="n"/>
      <c r="E160" s="16" t="n"/>
      <c r="F160" s="16" t="n"/>
      <c r="G160" s="17" t="n"/>
      <c r="H160" s="16" t="n"/>
    </row>
    <row r="161">
      <c r="A161" s="18">
        <f>IF(B161&lt;&gt;"",ROW()-1,"")</f>
        <v/>
      </c>
      <c r="B161" s="19" t="n"/>
      <c r="C161" s="20" t="n"/>
      <c r="D161" s="20" t="n"/>
      <c r="E161" s="20" t="n"/>
      <c r="F161" s="20" t="n"/>
      <c r="G161" s="21" t="n"/>
      <c r="H161" s="20" t="n"/>
    </row>
    <row r="162">
      <c r="A162" s="14">
        <f>IF(B162&lt;&gt;"",ROW()-1,"")</f>
        <v/>
      </c>
      <c r="B162" s="15" t="n"/>
      <c r="C162" s="16" t="n"/>
      <c r="D162" s="16" t="n"/>
      <c r="E162" s="16" t="n"/>
      <c r="F162" s="16" t="n"/>
      <c r="G162" s="17" t="n"/>
      <c r="H162" s="16" t="n"/>
    </row>
    <row r="163">
      <c r="A163" s="18">
        <f>IF(B163&lt;&gt;"",ROW()-1,"")</f>
        <v/>
      </c>
      <c r="B163" s="19" t="n"/>
      <c r="C163" s="20" t="n"/>
      <c r="D163" s="20" t="n"/>
      <c r="E163" s="20" t="n"/>
      <c r="F163" s="20" t="n"/>
      <c r="G163" s="21" t="n"/>
      <c r="H163" s="20" t="n"/>
    </row>
    <row r="164">
      <c r="A164" s="14">
        <f>IF(B164&lt;&gt;"",ROW()-1,"")</f>
        <v/>
      </c>
      <c r="B164" s="15" t="n"/>
      <c r="C164" s="16" t="n"/>
      <c r="D164" s="16" t="n"/>
      <c r="E164" s="16" t="n"/>
      <c r="F164" s="16" t="n"/>
      <c r="G164" s="17" t="n"/>
      <c r="H164" s="16" t="n"/>
    </row>
    <row r="165">
      <c r="A165" s="18">
        <f>IF(B165&lt;&gt;"",ROW()-1,"")</f>
        <v/>
      </c>
      <c r="B165" s="19" t="n"/>
      <c r="C165" s="20" t="n"/>
      <c r="D165" s="20" t="n"/>
      <c r="E165" s="20" t="n"/>
      <c r="F165" s="20" t="n"/>
      <c r="G165" s="21" t="n"/>
      <c r="H165" s="20" t="n"/>
    </row>
    <row r="166">
      <c r="A166" s="14">
        <f>IF(B166&lt;&gt;"",ROW()-1,"")</f>
        <v/>
      </c>
      <c r="B166" s="15" t="n"/>
      <c r="C166" s="16" t="n"/>
      <c r="D166" s="16" t="n"/>
      <c r="E166" s="16" t="n"/>
      <c r="F166" s="16" t="n"/>
      <c r="G166" s="17" t="n"/>
      <c r="H166" s="16" t="n"/>
    </row>
    <row r="167">
      <c r="A167" s="18">
        <f>IF(B167&lt;&gt;"",ROW()-1,"")</f>
        <v/>
      </c>
      <c r="B167" s="19" t="n"/>
      <c r="C167" s="20" t="n"/>
      <c r="D167" s="20" t="n"/>
      <c r="E167" s="20" t="n"/>
      <c r="F167" s="20" t="n"/>
      <c r="G167" s="21" t="n"/>
      <c r="H167" s="20" t="n"/>
    </row>
    <row r="168">
      <c r="A168" s="14">
        <f>IF(B168&lt;&gt;"",ROW()-1,"")</f>
        <v/>
      </c>
      <c r="B168" s="15" t="n"/>
      <c r="C168" s="16" t="n"/>
      <c r="D168" s="16" t="n"/>
      <c r="E168" s="16" t="n"/>
      <c r="F168" s="16" t="n"/>
      <c r="G168" s="17" t="n"/>
      <c r="H168" s="16" t="n"/>
    </row>
    <row r="169">
      <c r="A169" s="18">
        <f>IF(B169&lt;&gt;"",ROW()-1,"")</f>
        <v/>
      </c>
      <c r="B169" s="19" t="n"/>
      <c r="C169" s="20" t="n"/>
      <c r="D169" s="20" t="n"/>
      <c r="E169" s="20" t="n"/>
      <c r="F169" s="20" t="n"/>
      <c r="G169" s="21" t="n"/>
      <c r="H169" s="20" t="n"/>
    </row>
    <row r="170">
      <c r="A170" s="14">
        <f>IF(B170&lt;&gt;"",ROW()-1,"")</f>
        <v/>
      </c>
      <c r="B170" s="15" t="n"/>
      <c r="C170" s="16" t="n"/>
      <c r="D170" s="16" t="n"/>
      <c r="E170" s="16" t="n"/>
      <c r="F170" s="16" t="n"/>
      <c r="G170" s="17" t="n"/>
      <c r="H170" s="16" t="n"/>
    </row>
    <row r="171">
      <c r="A171" s="18">
        <f>IF(B171&lt;&gt;"",ROW()-1,"")</f>
        <v/>
      </c>
      <c r="B171" s="19" t="n"/>
      <c r="C171" s="20" t="n"/>
      <c r="D171" s="20" t="n"/>
      <c r="E171" s="20" t="n"/>
      <c r="F171" s="20" t="n"/>
      <c r="G171" s="21" t="n"/>
      <c r="H171" s="20" t="n"/>
    </row>
    <row r="172">
      <c r="A172" s="14">
        <f>IF(B172&lt;&gt;"",ROW()-1,"")</f>
        <v/>
      </c>
      <c r="B172" s="15" t="n"/>
      <c r="C172" s="16" t="n"/>
      <c r="D172" s="16" t="n"/>
      <c r="E172" s="16" t="n"/>
      <c r="F172" s="16" t="n"/>
      <c r="G172" s="17" t="n"/>
      <c r="H172" s="16" t="n"/>
    </row>
    <row r="173">
      <c r="A173" s="18">
        <f>IF(B173&lt;&gt;"",ROW()-1,"")</f>
        <v/>
      </c>
      <c r="B173" s="19" t="n"/>
      <c r="C173" s="20" t="n"/>
      <c r="D173" s="20" t="n"/>
      <c r="E173" s="20" t="n"/>
      <c r="F173" s="20" t="n"/>
      <c r="G173" s="21" t="n"/>
      <c r="H173" s="20" t="n"/>
    </row>
    <row r="174">
      <c r="A174" s="14">
        <f>IF(B174&lt;&gt;"",ROW()-1,"")</f>
        <v/>
      </c>
      <c r="B174" s="15" t="n"/>
      <c r="C174" s="16" t="n"/>
      <c r="D174" s="16" t="n"/>
      <c r="E174" s="16" t="n"/>
      <c r="F174" s="16" t="n"/>
      <c r="G174" s="17" t="n"/>
      <c r="H174" s="16" t="n"/>
    </row>
    <row r="175">
      <c r="A175" s="18">
        <f>IF(B175&lt;&gt;"",ROW()-1,"")</f>
        <v/>
      </c>
      <c r="B175" s="19" t="n"/>
      <c r="C175" s="20" t="n"/>
      <c r="D175" s="20" t="n"/>
      <c r="E175" s="20" t="n"/>
      <c r="F175" s="20" t="n"/>
      <c r="G175" s="21" t="n"/>
      <c r="H175" s="20" t="n"/>
    </row>
    <row r="176">
      <c r="A176" s="14">
        <f>IF(B176&lt;&gt;"",ROW()-1,"")</f>
        <v/>
      </c>
      <c r="B176" s="15" t="n"/>
      <c r="C176" s="16" t="n"/>
      <c r="D176" s="16" t="n"/>
      <c r="E176" s="16" t="n"/>
      <c r="F176" s="16" t="n"/>
      <c r="G176" s="17" t="n"/>
      <c r="H176" s="16" t="n"/>
    </row>
    <row r="177">
      <c r="A177" s="18">
        <f>IF(B177&lt;&gt;"",ROW()-1,"")</f>
        <v/>
      </c>
      <c r="B177" s="19" t="n"/>
      <c r="C177" s="20" t="n"/>
      <c r="D177" s="20" t="n"/>
      <c r="E177" s="20" t="n"/>
      <c r="F177" s="20" t="n"/>
      <c r="G177" s="21" t="n"/>
      <c r="H177" s="20" t="n"/>
    </row>
    <row r="178">
      <c r="A178" s="14">
        <f>IF(B178&lt;&gt;"",ROW()-1,"")</f>
        <v/>
      </c>
      <c r="B178" s="15" t="n"/>
      <c r="C178" s="16" t="n"/>
      <c r="D178" s="16" t="n"/>
      <c r="E178" s="16" t="n"/>
      <c r="F178" s="16" t="n"/>
      <c r="G178" s="17" t="n"/>
      <c r="H178" s="16" t="n"/>
    </row>
    <row r="179">
      <c r="A179" s="18">
        <f>IF(B179&lt;&gt;"",ROW()-1,"")</f>
        <v/>
      </c>
      <c r="B179" s="19" t="n"/>
      <c r="C179" s="20" t="n"/>
      <c r="D179" s="20" t="n"/>
      <c r="E179" s="20" t="n"/>
      <c r="F179" s="20" t="n"/>
      <c r="G179" s="21" t="n"/>
      <c r="H179" s="20" t="n"/>
    </row>
    <row r="180">
      <c r="A180" s="14">
        <f>IF(B180&lt;&gt;"",ROW()-1,"")</f>
        <v/>
      </c>
      <c r="B180" s="15" t="n"/>
      <c r="C180" s="16" t="n"/>
      <c r="D180" s="16" t="n"/>
      <c r="E180" s="16" t="n"/>
      <c r="F180" s="16" t="n"/>
      <c r="G180" s="17" t="n"/>
      <c r="H180" s="16" t="n"/>
    </row>
    <row r="181">
      <c r="A181" s="18">
        <f>IF(B181&lt;&gt;"",ROW()-1,"")</f>
        <v/>
      </c>
      <c r="B181" s="19" t="n"/>
      <c r="C181" s="20" t="n"/>
      <c r="D181" s="20" t="n"/>
      <c r="E181" s="20" t="n"/>
      <c r="F181" s="20" t="n"/>
      <c r="G181" s="21" t="n"/>
      <c r="H181" s="20" t="n"/>
    </row>
    <row r="182">
      <c r="A182" s="14">
        <f>IF(B182&lt;&gt;"",ROW()-1,"")</f>
        <v/>
      </c>
      <c r="B182" s="15" t="n"/>
      <c r="C182" s="16" t="n"/>
      <c r="D182" s="16" t="n"/>
      <c r="E182" s="16" t="n"/>
      <c r="F182" s="16" t="n"/>
      <c r="G182" s="17" t="n"/>
      <c r="H182" s="16" t="n"/>
    </row>
    <row r="183">
      <c r="A183" s="18">
        <f>IF(B183&lt;&gt;"",ROW()-1,"")</f>
        <v/>
      </c>
      <c r="B183" s="19" t="n"/>
      <c r="C183" s="20" t="n"/>
      <c r="D183" s="20" t="n"/>
      <c r="E183" s="20" t="n"/>
      <c r="F183" s="20" t="n"/>
      <c r="G183" s="21" t="n"/>
      <c r="H183" s="20" t="n"/>
    </row>
    <row r="184">
      <c r="A184" s="14">
        <f>IF(B184&lt;&gt;"",ROW()-1,"")</f>
        <v/>
      </c>
      <c r="B184" s="15" t="n"/>
      <c r="C184" s="16" t="n"/>
      <c r="D184" s="16" t="n"/>
      <c r="E184" s="16" t="n"/>
      <c r="F184" s="16" t="n"/>
      <c r="G184" s="17" t="n"/>
      <c r="H184" s="16" t="n"/>
    </row>
    <row r="185">
      <c r="A185" s="18">
        <f>IF(B185&lt;&gt;"",ROW()-1,"")</f>
        <v/>
      </c>
      <c r="B185" s="19" t="n"/>
      <c r="C185" s="20" t="n"/>
      <c r="D185" s="20" t="n"/>
      <c r="E185" s="20" t="n"/>
      <c r="F185" s="20" t="n"/>
      <c r="G185" s="21" t="n"/>
      <c r="H185" s="20" t="n"/>
    </row>
    <row r="186">
      <c r="A186" s="14">
        <f>IF(B186&lt;&gt;"",ROW()-1,"")</f>
        <v/>
      </c>
      <c r="B186" s="15" t="n"/>
      <c r="C186" s="16" t="n"/>
      <c r="D186" s="16" t="n"/>
      <c r="E186" s="16" t="n"/>
      <c r="F186" s="16" t="n"/>
      <c r="G186" s="17" t="n"/>
      <c r="H186" s="16" t="n"/>
    </row>
    <row r="187">
      <c r="A187" s="18">
        <f>IF(B187&lt;&gt;"",ROW()-1,"")</f>
        <v/>
      </c>
      <c r="B187" s="19" t="n"/>
      <c r="C187" s="20" t="n"/>
      <c r="D187" s="20" t="n"/>
      <c r="E187" s="20" t="n"/>
      <c r="F187" s="20" t="n"/>
      <c r="G187" s="21" t="n"/>
      <c r="H187" s="20" t="n"/>
    </row>
    <row r="188">
      <c r="A188" s="14">
        <f>IF(B188&lt;&gt;"",ROW()-1,"")</f>
        <v/>
      </c>
      <c r="B188" s="15" t="n"/>
      <c r="C188" s="16" t="n"/>
      <c r="D188" s="16" t="n"/>
      <c r="E188" s="16" t="n"/>
      <c r="F188" s="16" t="n"/>
      <c r="G188" s="17" t="n"/>
      <c r="H188" s="16" t="n"/>
    </row>
    <row r="189">
      <c r="A189" s="18">
        <f>IF(B189&lt;&gt;"",ROW()-1,"")</f>
        <v/>
      </c>
      <c r="B189" s="19" t="n"/>
      <c r="C189" s="20" t="n"/>
      <c r="D189" s="20" t="n"/>
      <c r="E189" s="20" t="n"/>
      <c r="F189" s="20" t="n"/>
      <c r="G189" s="21" t="n"/>
      <c r="H189" s="20" t="n"/>
    </row>
    <row r="190">
      <c r="A190" s="14">
        <f>IF(B190&lt;&gt;"",ROW()-1,"")</f>
        <v/>
      </c>
      <c r="B190" s="15" t="n"/>
      <c r="C190" s="16" t="n"/>
      <c r="D190" s="16" t="n"/>
      <c r="E190" s="16" t="n"/>
      <c r="F190" s="16" t="n"/>
      <c r="G190" s="17" t="n"/>
      <c r="H190" s="16" t="n"/>
    </row>
    <row r="191">
      <c r="A191" s="18">
        <f>IF(B191&lt;&gt;"",ROW()-1,"")</f>
        <v/>
      </c>
      <c r="B191" s="19" t="n"/>
      <c r="C191" s="20" t="n"/>
      <c r="D191" s="20" t="n"/>
      <c r="E191" s="20" t="n"/>
      <c r="F191" s="20" t="n"/>
      <c r="G191" s="21" t="n"/>
      <c r="H191" s="20" t="n"/>
    </row>
    <row r="192">
      <c r="A192" s="14">
        <f>IF(B192&lt;&gt;"",ROW()-1,"")</f>
        <v/>
      </c>
      <c r="B192" s="15" t="n"/>
      <c r="C192" s="16" t="n"/>
      <c r="D192" s="16" t="n"/>
      <c r="E192" s="16" t="n"/>
      <c r="F192" s="16" t="n"/>
      <c r="G192" s="17" t="n"/>
      <c r="H192" s="16" t="n"/>
    </row>
    <row r="193">
      <c r="A193" s="18">
        <f>IF(B193&lt;&gt;"",ROW()-1,"")</f>
        <v/>
      </c>
      <c r="B193" s="19" t="n"/>
      <c r="C193" s="20" t="n"/>
      <c r="D193" s="20" t="n"/>
      <c r="E193" s="20" t="n"/>
      <c r="F193" s="20" t="n"/>
      <c r="G193" s="21" t="n"/>
      <c r="H193" s="20" t="n"/>
    </row>
    <row r="194">
      <c r="A194" s="14">
        <f>IF(B194&lt;&gt;"",ROW()-1,"")</f>
        <v/>
      </c>
      <c r="B194" s="15" t="n"/>
      <c r="C194" s="16" t="n"/>
      <c r="D194" s="16" t="n"/>
      <c r="E194" s="16" t="n"/>
      <c r="F194" s="16" t="n"/>
      <c r="G194" s="17" t="n"/>
      <c r="H194" s="16" t="n"/>
    </row>
    <row r="195">
      <c r="A195" s="18">
        <f>IF(B195&lt;&gt;"",ROW()-1,"")</f>
        <v/>
      </c>
      <c r="B195" s="19" t="n"/>
      <c r="C195" s="20" t="n"/>
      <c r="D195" s="20" t="n"/>
      <c r="E195" s="20" t="n"/>
      <c r="F195" s="20" t="n"/>
      <c r="G195" s="21" t="n"/>
      <c r="H195" s="20" t="n"/>
    </row>
    <row r="196">
      <c r="A196" s="14">
        <f>IF(B196&lt;&gt;"",ROW()-1,"")</f>
        <v/>
      </c>
      <c r="B196" s="15" t="n"/>
      <c r="C196" s="16" t="n"/>
      <c r="D196" s="16" t="n"/>
      <c r="E196" s="16" t="n"/>
      <c r="F196" s="16" t="n"/>
      <c r="G196" s="17" t="n"/>
      <c r="H196" s="16" t="n"/>
    </row>
    <row r="197">
      <c r="A197" s="18">
        <f>IF(B197&lt;&gt;"",ROW()-1,"")</f>
        <v/>
      </c>
      <c r="B197" s="19" t="n"/>
      <c r="C197" s="20" t="n"/>
      <c r="D197" s="20" t="n"/>
      <c r="E197" s="20" t="n"/>
      <c r="F197" s="20" t="n"/>
      <c r="G197" s="21" t="n"/>
      <c r="H197" s="20" t="n"/>
    </row>
    <row r="198">
      <c r="A198" s="14">
        <f>IF(B198&lt;&gt;"",ROW()-1,"")</f>
        <v/>
      </c>
      <c r="B198" s="15" t="n"/>
      <c r="C198" s="16" t="n"/>
      <c r="D198" s="16" t="n"/>
      <c r="E198" s="16" t="n"/>
      <c r="F198" s="16" t="n"/>
      <c r="G198" s="17" t="n"/>
      <c r="H198" s="16" t="n"/>
    </row>
    <row r="199">
      <c r="A199" s="18">
        <f>IF(B199&lt;&gt;"",ROW()-1,"")</f>
        <v/>
      </c>
      <c r="B199" s="19" t="n"/>
      <c r="C199" s="20" t="n"/>
      <c r="D199" s="20" t="n"/>
      <c r="E199" s="20" t="n"/>
      <c r="F199" s="20" t="n"/>
      <c r="G199" s="21" t="n"/>
      <c r="H199" s="20" t="n"/>
    </row>
    <row r="200">
      <c r="A200" s="14">
        <f>IF(B200&lt;&gt;"",ROW()-1,"")</f>
        <v/>
      </c>
      <c r="B200" s="15" t="n"/>
      <c r="C200" s="16" t="n"/>
      <c r="D200" s="16" t="n"/>
      <c r="E200" s="16" t="n"/>
      <c r="F200" s="16" t="n"/>
      <c r="G200" s="17" t="n"/>
      <c r="H200" s="16" t="n"/>
    </row>
    <row r="201">
      <c r="A201" s="18">
        <f>IF(B201&lt;&gt;"",ROW()-1,"")</f>
        <v/>
      </c>
      <c r="B201" s="19" t="n"/>
      <c r="C201" s="20" t="n"/>
      <c r="D201" s="20" t="n"/>
      <c r="E201" s="20" t="n"/>
      <c r="F201" s="20" t="n"/>
      <c r="G201" s="21" t="n"/>
      <c r="H201" s="20" t="n"/>
    </row>
    <row r="202">
      <c r="F202" s="22" t="inlineStr">
        <is>
          <t>合計</t>
        </is>
      </c>
      <c r="G202" s="23">
        <f>SUM(G2:G201)</f>
        <v/>
      </c>
    </row>
  </sheetData>
  <autoFilter ref="A1:H201"/>
  <dataValidations count="2">
    <dataValidation sqref="C2:C201" showDropDown="0" showInputMessage="0" showErrorMessage="0" allowBlank="1" type="list">
      <formula1>"材料費,燃料費,高速料金,駐車場代,工具・消耗品費,通信費,交際費,会議費,事務用品費,広告宣伝費,研修費,福利厚生費,車両維持費,地代家賃,保険料,雑費"</formula1>
    </dataValidation>
    <dataValidation sqref="D2:D201" showDropDown="0" showInputMessage="0" showErrorMessage="0" allowBlank="1" type="list">
      <formula1>"現金,アメックス,イオンカード"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8" customWidth="1" min="4" max="4"/>
    <col width="10" customWidth="1" min="5" max="5"/>
    <col width="20" customWidth="1" min="6" max="6"/>
    <col width="14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3" customWidth="1" min="13" max="13"/>
    <col width="10" customWidth="1" min="14" max="14"/>
  </cols>
  <sheetData>
    <row r="1" ht="30" customHeight="1">
      <c r="A1" s="24" t="inlineStr">
        <is>
          <t>No</t>
        </is>
      </c>
      <c r="B1" s="24" t="inlineStr">
        <is>
          <t>登録日</t>
        </is>
      </c>
      <c r="C1" s="24" t="inlineStr">
        <is>
          <t>業者名</t>
        </is>
      </c>
      <c r="D1" s="24" t="inlineStr">
        <is>
          <t>種別</t>
        </is>
      </c>
      <c r="E1" s="24" t="inlineStr">
        <is>
          <t>インボイス</t>
        </is>
      </c>
      <c r="F1" s="24" t="inlineStr">
        <is>
          <t>案件名</t>
        </is>
      </c>
      <c r="G1" s="24" t="inlineStr">
        <is>
          <t>請求額(税抜)</t>
        </is>
      </c>
      <c r="H1" s="24" t="inlineStr">
        <is>
          <t>消費税(10%)</t>
        </is>
      </c>
      <c r="I1" s="24" t="inlineStr">
        <is>
          <t>合計(税込)</t>
        </is>
      </c>
      <c r="J1" s="24" t="inlineStr">
        <is>
          <t>請求日</t>
        </is>
      </c>
      <c r="K1" s="24" t="inlineStr">
        <is>
          <t>支払期限</t>
        </is>
      </c>
      <c r="L1" s="24" t="inlineStr">
        <is>
          <t>支払日</t>
        </is>
      </c>
      <c r="M1" s="24" t="inlineStr">
        <is>
          <t>支払額</t>
        </is>
      </c>
      <c r="N1" s="24" t="inlineStr">
        <is>
          <t>状況</t>
        </is>
      </c>
    </row>
    <row r="2">
      <c r="A2" s="14">
        <f>IF(C2&lt;&gt;"",ROW()-1,"")</f>
        <v/>
      </c>
      <c r="B2" s="15" t="n"/>
      <c r="C2" s="16" t="n"/>
      <c r="D2" s="14">
        <f>IF(C2="","",IFERROR(VLOOKUP(C2,マスター!A:B,2,0),""))</f>
        <v/>
      </c>
      <c r="E2" s="14">
        <f>IF(C2="","",IFERROR(VLOOKUP(C2,マスター!A:C,3,0),""))</f>
        <v/>
      </c>
      <c r="F2" s="16" t="n"/>
      <c r="G2" s="17" t="n"/>
      <c r="H2" s="17">
        <f>IF(G2="","",G2*0.1)</f>
        <v/>
      </c>
      <c r="I2" s="17">
        <f>IF(G2="","",G2+H2)</f>
        <v/>
      </c>
      <c r="J2" s="15" t="n"/>
      <c r="K2" s="15">
        <f>IF(J2="","",EOMONTH(J2,1))</f>
        <v/>
      </c>
      <c r="L2" s="15" t="n"/>
      <c r="M2" s="17" t="n"/>
      <c r="N2" s="14">
        <f>IF(C2="","",IF(L2&lt;&gt;"","支払済","未払"))</f>
        <v/>
      </c>
    </row>
    <row r="3">
      <c r="A3" s="18">
        <f>IF(C3&lt;&gt;"",ROW()-1,"")</f>
        <v/>
      </c>
      <c r="B3" s="19" t="n"/>
      <c r="C3" s="20" t="n"/>
      <c r="D3" s="18">
        <f>IF(C3="","",IFERROR(VLOOKUP(C3,マスター!A:B,2,0),""))</f>
        <v/>
      </c>
      <c r="E3" s="18">
        <f>IF(C3="","",IFERROR(VLOOKUP(C3,マスター!A:C,3,0),""))</f>
        <v/>
      </c>
      <c r="F3" s="20" t="n"/>
      <c r="G3" s="21" t="n"/>
      <c r="H3" s="21">
        <f>IF(G3="","",G3*0.1)</f>
        <v/>
      </c>
      <c r="I3" s="21">
        <f>IF(G3="","",G3+H3)</f>
        <v/>
      </c>
      <c r="J3" s="19" t="n"/>
      <c r="K3" s="19">
        <f>IF(J3="","",EOMONTH(J3,1))</f>
        <v/>
      </c>
      <c r="L3" s="19" t="n"/>
      <c r="M3" s="21" t="n"/>
      <c r="N3" s="18">
        <f>IF(C3="","",IF(L3&lt;&gt;"","支払済","未払"))</f>
        <v/>
      </c>
    </row>
    <row r="4">
      <c r="A4" s="14">
        <f>IF(C4&lt;&gt;"",ROW()-1,"")</f>
        <v/>
      </c>
      <c r="B4" s="15" t="n"/>
      <c r="C4" s="16" t="n"/>
      <c r="D4" s="14">
        <f>IF(C4="","",IFERROR(VLOOKUP(C4,マスター!A:B,2,0),""))</f>
        <v/>
      </c>
      <c r="E4" s="14">
        <f>IF(C4="","",IFERROR(VLOOKUP(C4,マスター!A:C,3,0),""))</f>
        <v/>
      </c>
      <c r="F4" s="16" t="n"/>
      <c r="G4" s="17" t="n"/>
      <c r="H4" s="17">
        <f>IF(G4="","",G4*0.1)</f>
        <v/>
      </c>
      <c r="I4" s="17">
        <f>IF(G4="","",G4+H4)</f>
        <v/>
      </c>
      <c r="J4" s="15" t="n"/>
      <c r="K4" s="15">
        <f>IF(J4="","",EOMONTH(J4,1))</f>
        <v/>
      </c>
      <c r="L4" s="15" t="n"/>
      <c r="M4" s="17" t="n"/>
      <c r="N4" s="14">
        <f>IF(C4="","",IF(L4&lt;&gt;"","支払済","未払"))</f>
        <v/>
      </c>
    </row>
    <row r="5">
      <c r="A5" s="18">
        <f>IF(C5&lt;&gt;"",ROW()-1,"")</f>
        <v/>
      </c>
      <c r="B5" s="19" t="n"/>
      <c r="C5" s="20" t="n"/>
      <c r="D5" s="18">
        <f>IF(C5="","",IFERROR(VLOOKUP(C5,マスター!A:B,2,0),""))</f>
        <v/>
      </c>
      <c r="E5" s="18">
        <f>IF(C5="","",IFERROR(VLOOKUP(C5,マスター!A:C,3,0),""))</f>
        <v/>
      </c>
      <c r="F5" s="20" t="n"/>
      <c r="G5" s="21" t="n"/>
      <c r="H5" s="21">
        <f>IF(G5="","",G5*0.1)</f>
        <v/>
      </c>
      <c r="I5" s="21">
        <f>IF(G5="","",G5+H5)</f>
        <v/>
      </c>
      <c r="J5" s="19" t="n"/>
      <c r="K5" s="19">
        <f>IF(J5="","",EOMONTH(J5,1))</f>
        <v/>
      </c>
      <c r="L5" s="19" t="n"/>
      <c r="M5" s="21" t="n"/>
      <c r="N5" s="18">
        <f>IF(C5="","",IF(L5&lt;&gt;"","支払済","未払"))</f>
        <v/>
      </c>
    </row>
    <row r="6">
      <c r="A6" s="14">
        <f>IF(C6&lt;&gt;"",ROW()-1,"")</f>
        <v/>
      </c>
      <c r="B6" s="15" t="n"/>
      <c r="C6" s="16" t="n"/>
      <c r="D6" s="14">
        <f>IF(C6="","",IFERROR(VLOOKUP(C6,マスター!A:B,2,0),""))</f>
        <v/>
      </c>
      <c r="E6" s="14">
        <f>IF(C6="","",IFERROR(VLOOKUP(C6,マスター!A:C,3,0),""))</f>
        <v/>
      </c>
      <c r="F6" s="16" t="n"/>
      <c r="G6" s="17" t="n"/>
      <c r="H6" s="17">
        <f>IF(G6="","",G6*0.1)</f>
        <v/>
      </c>
      <c r="I6" s="17">
        <f>IF(G6="","",G6+H6)</f>
        <v/>
      </c>
      <c r="J6" s="15" t="n"/>
      <c r="K6" s="15">
        <f>IF(J6="","",EOMONTH(J6,1))</f>
        <v/>
      </c>
      <c r="L6" s="15" t="n"/>
      <c r="M6" s="17" t="n"/>
      <c r="N6" s="14">
        <f>IF(C6="","",IF(L6&lt;&gt;"","支払済","未払"))</f>
        <v/>
      </c>
    </row>
    <row r="7">
      <c r="A7" s="18">
        <f>IF(C7&lt;&gt;"",ROW()-1,"")</f>
        <v/>
      </c>
      <c r="B7" s="19" t="n"/>
      <c r="C7" s="20" t="n"/>
      <c r="D7" s="18">
        <f>IF(C7="","",IFERROR(VLOOKUP(C7,マスター!A:B,2,0),""))</f>
        <v/>
      </c>
      <c r="E7" s="18">
        <f>IF(C7="","",IFERROR(VLOOKUP(C7,マスター!A:C,3,0),""))</f>
        <v/>
      </c>
      <c r="F7" s="20" t="n"/>
      <c r="G7" s="21" t="n"/>
      <c r="H7" s="21">
        <f>IF(G7="","",G7*0.1)</f>
        <v/>
      </c>
      <c r="I7" s="21">
        <f>IF(G7="","",G7+H7)</f>
        <v/>
      </c>
      <c r="J7" s="19" t="n"/>
      <c r="K7" s="19">
        <f>IF(J7="","",EOMONTH(J7,1))</f>
        <v/>
      </c>
      <c r="L7" s="19" t="n"/>
      <c r="M7" s="21" t="n"/>
      <c r="N7" s="18">
        <f>IF(C7="","",IF(L7&lt;&gt;"","支払済","未払"))</f>
        <v/>
      </c>
    </row>
    <row r="8">
      <c r="A8" s="14">
        <f>IF(C8&lt;&gt;"",ROW()-1,"")</f>
        <v/>
      </c>
      <c r="B8" s="15" t="n"/>
      <c r="C8" s="16" t="n"/>
      <c r="D8" s="14">
        <f>IF(C8="","",IFERROR(VLOOKUP(C8,マスター!A:B,2,0),""))</f>
        <v/>
      </c>
      <c r="E8" s="14">
        <f>IF(C8="","",IFERROR(VLOOKUP(C8,マスター!A:C,3,0),""))</f>
        <v/>
      </c>
      <c r="F8" s="16" t="n"/>
      <c r="G8" s="17" t="n"/>
      <c r="H8" s="17">
        <f>IF(G8="","",G8*0.1)</f>
        <v/>
      </c>
      <c r="I8" s="17">
        <f>IF(G8="","",G8+H8)</f>
        <v/>
      </c>
      <c r="J8" s="15" t="n"/>
      <c r="K8" s="15">
        <f>IF(J8="","",EOMONTH(J8,1))</f>
        <v/>
      </c>
      <c r="L8" s="15" t="n"/>
      <c r="M8" s="17" t="n"/>
      <c r="N8" s="14">
        <f>IF(C8="","",IF(L8&lt;&gt;"","支払済","未払"))</f>
        <v/>
      </c>
    </row>
    <row r="9">
      <c r="A9" s="18">
        <f>IF(C9&lt;&gt;"",ROW()-1,"")</f>
        <v/>
      </c>
      <c r="B9" s="19" t="n"/>
      <c r="C9" s="20" t="n"/>
      <c r="D9" s="18">
        <f>IF(C9="","",IFERROR(VLOOKUP(C9,マスター!A:B,2,0),""))</f>
        <v/>
      </c>
      <c r="E9" s="18">
        <f>IF(C9="","",IFERROR(VLOOKUP(C9,マスター!A:C,3,0),""))</f>
        <v/>
      </c>
      <c r="F9" s="20" t="n"/>
      <c r="G9" s="21" t="n"/>
      <c r="H9" s="21">
        <f>IF(G9="","",G9*0.1)</f>
        <v/>
      </c>
      <c r="I9" s="21">
        <f>IF(G9="","",G9+H9)</f>
        <v/>
      </c>
      <c r="J9" s="19" t="n"/>
      <c r="K9" s="19">
        <f>IF(J9="","",EOMONTH(J9,1))</f>
        <v/>
      </c>
      <c r="L9" s="19" t="n"/>
      <c r="M9" s="21" t="n"/>
      <c r="N9" s="18">
        <f>IF(C9="","",IF(L9&lt;&gt;"","支払済","未払"))</f>
        <v/>
      </c>
    </row>
    <row r="10">
      <c r="A10" s="14">
        <f>IF(C10&lt;&gt;"",ROW()-1,"")</f>
        <v/>
      </c>
      <c r="B10" s="15" t="n"/>
      <c r="C10" s="16" t="n"/>
      <c r="D10" s="14">
        <f>IF(C10="","",IFERROR(VLOOKUP(C10,マスター!A:B,2,0),""))</f>
        <v/>
      </c>
      <c r="E10" s="14">
        <f>IF(C10="","",IFERROR(VLOOKUP(C10,マスター!A:C,3,0),""))</f>
        <v/>
      </c>
      <c r="F10" s="16" t="n"/>
      <c r="G10" s="17" t="n"/>
      <c r="H10" s="17">
        <f>IF(G10="","",G10*0.1)</f>
        <v/>
      </c>
      <c r="I10" s="17">
        <f>IF(G10="","",G10+H10)</f>
        <v/>
      </c>
      <c r="J10" s="15" t="n"/>
      <c r="K10" s="15">
        <f>IF(J10="","",EOMONTH(J10,1))</f>
        <v/>
      </c>
      <c r="L10" s="15" t="n"/>
      <c r="M10" s="17" t="n"/>
      <c r="N10" s="14">
        <f>IF(C10="","",IF(L10&lt;&gt;"","支払済","未払"))</f>
        <v/>
      </c>
    </row>
    <row r="11">
      <c r="A11" s="18">
        <f>IF(C11&lt;&gt;"",ROW()-1,"")</f>
        <v/>
      </c>
      <c r="B11" s="19" t="n"/>
      <c r="C11" s="20" t="n"/>
      <c r="D11" s="18">
        <f>IF(C11="","",IFERROR(VLOOKUP(C11,マスター!A:B,2,0),""))</f>
        <v/>
      </c>
      <c r="E11" s="18">
        <f>IF(C11="","",IFERROR(VLOOKUP(C11,マスター!A:C,3,0),""))</f>
        <v/>
      </c>
      <c r="F11" s="20" t="n"/>
      <c r="G11" s="21" t="n"/>
      <c r="H11" s="21">
        <f>IF(G11="","",G11*0.1)</f>
        <v/>
      </c>
      <c r="I11" s="21">
        <f>IF(G11="","",G11+H11)</f>
        <v/>
      </c>
      <c r="J11" s="19" t="n"/>
      <c r="K11" s="19">
        <f>IF(J11="","",EOMONTH(J11,1))</f>
        <v/>
      </c>
      <c r="L11" s="19" t="n"/>
      <c r="M11" s="21" t="n"/>
      <c r="N11" s="18">
        <f>IF(C11="","",IF(L11&lt;&gt;"","支払済","未払"))</f>
        <v/>
      </c>
    </row>
    <row r="12">
      <c r="A12" s="14">
        <f>IF(C12&lt;&gt;"",ROW()-1,"")</f>
        <v/>
      </c>
      <c r="B12" s="15" t="n"/>
      <c r="C12" s="16" t="n"/>
      <c r="D12" s="14">
        <f>IF(C12="","",IFERROR(VLOOKUP(C12,マスター!A:B,2,0),""))</f>
        <v/>
      </c>
      <c r="E12" s="14">
        <f>IF(C12="","",IFERROR(VLOOKUP(C12,マスター!A:C,3,0),""))</f>
        <v/>
      </c>
      <c r="F12" s="16" t="n"/>
      <c r="G12" s="17" t="n"/>
      <c r="H12" s="17">
        <f>IF(G12="","",G12*0.1)</f>
        <v/>
      </c>
      <c r="I12" s="17">
        <f>IF(G12="","",G12+H12)</f>
        <v/>
      </c>
      <c r="J12" s="15" t="n"/>
      <c r="K12" s="15">
        <f>IF(J12="","",EOMONTH(J12,1))</f>
        <v/>
      </c>
      <c r="L12" s="15" t="n"/>
      <c r="M12" s="17" t="n"/>
      <c r="N12" s="14">
        <f>IF(C12="","",IF(L12&lt;&gt;"","支払済","未払"))</f>
        <v/>
      </c>
    </row>
    <row r="13">
      <c r="A13" s="18">
        <f>IF(C13&lt;&gt;"",ROW()-1,"")</f>
        <v/>
      </c>
      <c r="B13" s="19" t="n"/>
      <c r="C13" s="20" t="n"/>
      <c r="D13" s="18">
        <f>IF(C13="","",IFERROR(VLOOKUP(C13,マスター!A:B,2,0),""))</f>
        <v/>
      </c>
      <c r="E13" s="18">
        <f>IF(C13="","",IFERROR(VLOOKUP(C13,マスター!A:C,3,0),""))</f>
        <v/>
      </c>
      <c r="F13" s="20" t="n"/>
      <c r="G13" s="21" t="n"/>
      <c r="H13" s="21">
        <f>IF(G13="","",G13*0.1)</f>
        <v/>
      </c>
      <c r="I13" s="21">
        <f>IF(G13="","",G13+H13)</f>
        <v/>
      </c>
      <c r="J13" s="19" t="n"/>
      <c r="K13" s="19">
        <f>IF(J13="","",EOMONTH(J13,1))</f>
        <v/>
      </c>
      <c r="L13" s="19" t="n"/>
      <c r="M13" s="21" t="n"/>
      <c r="N13" s="18">
        <f>IF(C13="","",IF(L13&lt;&gt;"","支払済","未払"))</f>
        <v/>
      </c>
    </row>
    <row r="14">
      <c r="A14" s="14">
        <f>IF(C14&lt;&gt;"",ROW()-1,"")</f>
        <v/>
      </c>
      <c r="B14" s="15" t="n"/>
      <c r="C14" s="16" t="n"/>
      <c r="D14" s="14">
        <f>IF(C14="","",IFERROR(VLOOKUP(C14,マスター!A:B,2,0),""))</f>
        <v/>
      </c>
      <c r="E14" s="14">
        <f>IF(C14="","",IFERROR(VLOOKUP(C14,マスター!A:C,3,0),""))</f>
        <v/>
      </c>
      <c r="F14" s="16" t="n"/>
      <c r="G14" s="17" t="n"/>
      <c r="H14" s="17">
        <f>IF(G14="","",G14*0.1)</f>
        <v/>
      </c>
      <c r="I14" s="17">
        <f>IF(G14="","",G14+H14)</f>
        <v/>
      </c>
      <c r="J14" s="15" t="n"/>
      <c r="K14" s="15">
        <f>IF(J14="","",EOMONTH(J14,1))</f>
        <v/>
      </c>
      <c r="L14" s="15" t="n"/>
      <c r="M14" s="17" t="n"/>
      <c r="N14" s="14">
        <f>IF(C14="","",IF(L14&lt;&gt;"","支払済","未払"))</f>
        <v/>
      </c>
    </row>
    <row r="15">
      <c r="A15" s="18">
        <f>IF(C15&lt;&gt;"",ROW()-1,"")</f>
        <v/>
      </c>
      <c r="B15" s="19" t="n"/>
      <c r="C15" s="20" t="n"/>
      <c r="D15" s="18">
        <f>IF(C15="","",IFERROR(VLOOKUP(C15,マスター!A:B,2,0),""))</f>
        <v/>
      </c>
      <c r="E15" s="18">
        <f>IF(C15="","",IFERROR(VLOOKUP(C15,マスター!A:C,3,0),""))</f>
        <v/>
      </c>
      <c r="F15" s="20" t="n"/>
      <c r="G15" s="21" t="n"/>
      <c r="H15" s="21">
        <f>IF(G15="","",G15*0.1)</f>
        <v/>
      </c>
      <c r="I15" s="21">
        <f>IF(G15="","",G15+H15)</f>
        <v/>
      </c>
      <c r="J15" s="19" t="n"/>
      <c r="K15" s="19">
        <f>IF(J15="","",EOMONTH(J15,1))</f>
        <v/>
      </c>
      <c r="L15" s="19" t="n"/>
      <c r="M15" s="21" t="n"/>
      <c r="N15" s="18">
        <f>IF(C15="","",IF(L15&lt;&gt;"","支払済","未払"))</f>
        <v/>
      </c>
    </row>
    <row r="16">
      <c r="A16" s="14">
        <f>IF(C16&lt;&gt;"",ROW()-1,"")</f>
        <v/>
      </c>
      <c r="B16" s="15" t="n"/>
      <c r="C16" s="16" t="n"/>
      <c r="D16" s="14">
        <f>IF(C16="","",IFERROR(VLOOKUP(C16,マスター!A:B,2,0),""))</f>
        <v/>
      </c>
      <c r="E16" s="14">
        <f>IF(C16="","",IFERROR(VLOOKUP(C16,マスター!A:C,3,0),""))</f>
        <v/>
      </c>
      <c r="F16" s="16" t="n"/>
      <c r="G16" s="17" t="n"/>
      <c r="H16" s="17">
        <f>IF(G16="","",G16*0.1)</f>
        <v/>
      </c>
      <c r="I16" s="17">
        <f>IF(G16="","",G16+H16)</f>
        <v/>
      </c>
      <c r="J16" s="15" t="n"/>
      <c r="K16" s="15">
        <f>IF(J16="","",EOMONTH(J16,1))</f>
        <v/>
      </c>
      <c r="L16" s="15" t="n"/>
      <c r="M16" s="17" t="n"/>
      <c r="N16" s="14">
        <f>IF(C16="","",IF(L16&lt;&gt;"","支払済","未払"))</f>
        <v/>
      </c>
    </row>
    <row r="17">
      <c r="A17" s="18">
        <f>IF(C17&lt;&gt;"",ROW()-1,"")</f>
        <v/>
      </c>
      <c r="B17" s="19" t="n"/>
      <c r="C17" s="20" t="n"/>
      <c r="D17" s="18">
        <f>IF(C17="","",IFERROR(VLOOKUP(C17,マスター!A:B,2,0),""))</f>
        <v/>
      </c>
      <c r="E17" s="18">
        <f>IF(C17="","",IFERROR(VLOOKUP(C17,マスター!A:C,3,0),""))</f>
        <v/>
      </c>
      <c r="F17" s="20" t="n"/>
      <c r="G17" s="21" t="n"/>
      <c r="H17" s="21">
        <f>IF(G17="","",G17*0.1)</f>
        <v/>
      </c>
      <c r="I17" s="21">
        <f>IF(G17="","",G17+H17)</f>
        <v/>
      </c>
      <c r="J17" s="19" t="n"/>
      <c r="K17" s="19">
        <f>IF(J17="","",EOMONTH(J17,1))</f>
        <v/>
      </c>
      <c r="L17" s="19" t="n"/>
      <c r="M17" s="21" t="n"/>
      <c r="N17" s="18">
        <f>IF(C17="","",IF(L17&lt;&gt;"","支払済","未払"))</f>
        <v/>
      </c>
    </row>
    <row r="18">
      <c r="A18" s="14">
        <f>IF(C18&lt;&gt;"",ROW()-1,"")</f>
        <v/>
      </c>
      <c r="B18" s="15" t="n"/>
      <c r="C18" s="16" t="n"/>
      <c r="D18" s="14">
        <f>IF(C18="","",IFERROR(VLOOKUP(C18,マスター!A:B,2,0),""))</f>
        <v/>
      </c>
      <c r="E18" s="14">
        <f>IF(C18="","",IFERROR(VLOOKUP(C18,マスター!A:C,3,0),""))</f>
        <v/>
      </c>
      <c r="F18" s="16" t="n"/>
      <c r="G18" s="17" t="n"/>
      <c r="H18" s="17">
        <f>IF(G18="","",G18*0.1)</f>
        <v/>
      </c>
      <c r="I18" s="17">
        <f>IF(G18="","",G18+H18)</f>
        <v/>
      </c>
      <c r="J18" s="15" t="n"/>
      <c r="K18" s="15">
        <f>IF(J18="","",EOMONTH(J18,1))</f>
        <v/>
      </c>
      <c r="L18" s="15" t="n"/>
      <c r="M18" s="17" t="n"/>
      <c r="N18" s="14">
        <f>IF(C18="","",IF(L18&lt;&gt;"","支払済","未払"))</f>
        <v/>
      </c>
    </row>
    <row r="19">
      <c r="A19" s="18">
        <f>IF(C19&lt;&gt;"",ROW()-1,"")</f>
        <v/>
      </c>
      <c r="B19" s="19" t="n"/>
      <c r="C19" s="20" t="n"/>
      <c r="D19" s="18">
        <f>IF(C19="","",IFERROR(VLOOKUP(C19,マスター!A:B,2,0),""))</f>
        <v/>
      </c>
      <c r="E19" s="18">
        <f>IF(C19="","",IFERROR(VLOOKUP(C19,マスター!A:C,3,0),""))</f>
        <v/>
      </c>
      <c r="F19" s="20" t="n"/>
      <c r="G19" s="21" t="n"/>
      <c r="H19" s="21">
        <f>IF(G19="","",G19*0.1)</f>
        <v/>
      </c>
      <c r="I19" s="21">
        <f>IF(G19="","",G19+H19)</f>
        <v/>
      </c>
      <c r="J19" s="19" t="n"/>
      <c r="K19" s="19">
        <f>IF(J19="","",EOMONTH(J19,1))</f>
        <v/>
      </c>
      <c r="L19" s="19" t="n"/>
      <c r="M19" s="21" t="n"/>
      <c r="N19" s="18">
        <f>IF(C19="","",IF(L19&lt;&gt;"","支払済","未払"))</f>
        <v/>
      </c>
    </row>
    <row r="20">
      <c r="A20" s="14">
        <f>IF(C20&lt;&gt;"",ROW()-1,"")</f>
        <v/>
      </c>
      <c r="B20" s="15" t="n"/>
      <c r="C20" s="16" t="n"/>
      <c r="D20" s="14">
        <f>IF(C20="","",IFERROR(VLOOKUP(C20,マスター!A:B,2,0),""))</f>
        <v/>
      </c>
      <c r="E20" s="14">
        <f>IF(C20="","",IFERROR(VLOOKUP(C20,マスター!A:C,3,0),""))</f>
        <v/>
      </c>
      <c r="F20" s="16" t="n"/>
      <c r="G20" s="17" t="n"/>
      <c r="H20" s="17">
        <f>IF(G20="","",G20*0.1)</f>
        <v/>
      </c>
      <c r="I20" s="17">
        <f>IF(G20="","",G20+H20)</f>
        <v/>
      </c>
      <c r="J20" s="15" t="n"/>
      <c r="K20" s="15">
        <f>IF(J20="","",EOMONTH(J20,1))</f>
        <v/>
      </c>
      <c r="L20" s="15" t="n"/>
      <c r="M20" s="17" t="n"/>
      <c r="N20" s="14">
        <f>IF(C20="","",IF(L20&lt;&gt;"","支払済","未払"))</f>
        <v/>
      </c>
    </row>
    <row r="21">
      <c r="A21" s="18">
        <f>IF(C21&lt;&gt;"",ROW()-1,"")</f>
        <v/>
      </c>
      <c r="B21" s="19" t="n"/>
      <c r="C21" s="20" t="n"/>
      <c r="D21" s="18">
        <f>IF(C21="","",IFERROR(VLOOKUP(C21,マスター!A:B,2,0),""))</f>
        <v/>
      </c>
      <c r="E21" s="18">
        <f>IF(C21="","",IFERROR(VLOOKUP(C21,マスター!A:C,3,0),""))</f>
        <v/>
      </c>
      <c r="F21" s="20" t="n"/>
      <c r="G21" s="21" t="n"/>
      <c r="H21" s="21">
        <f>IF(G21="","",G21*0.1)</f>
        <v/>
      </c>
      <c r="I21" s="21">
        <f>IF(G21="","",G21+H21)</f>
        <v/>
      </c>
      <c r="J21" s="19" t="n"/>
      <c r="K21" s="19">
        <f>IF(J21="","",EOMONTH(J21,1))</f>
        <v/>
      </c>
      <c r="L21" s="19" t="n"/>
      <c r="M21" s="21" t="n"/>
      <c r="N21" s="18">
        <f>IF(C21="","",IF(L21&lt;&gt;"","支払済","未払"))</f>
        <v/>
      </c>
    </row>
    <row r="22">
      <c r="A22" s="14">
        <f>IF(C22&lt;&gt;"",ROW()-1,"")</f>
        <v/>
      </c>
      <c r="B22" s="15" t="n"/>
      <c r="C22" s="16" t="n"/>
      <c r="D22" s="14">
        <f>IF(C22="","",IFERROR(VLOOKUP(C22,マスター!A:B,2,0),""))</f>
        <v/>
      </c>
      <c r="E22" s="14">
        <f>IF(C22="","",IFERROR(VLOOKUP(C22,マスター!A:C,3,0),""))</f>
        <v/>
      </c>
      <c r="F22" s="16" t="n"/>
      <c r="G22" s="17" t="n"/>
      <c r="H22" s="17">
        <f>IF(G22="","",G22*0.1)</f>
        <v/>
      </c>
      <c r="I22" s="17">
        <f>IF(G22="","",G22+H22)</f>
        <v/>
      </c>
      <c r="J22" s="15" t="n"/>
      <c r="K22" s="15">
        <f>IF(J22="","",EOMONTH(J22,1))</f>
        <v/>
      </c>
      <c r="L22" s="15" t="n"/>
      <c r="M22" s="17" t="n"/>
      <c r="N22" s="14">
        <f>IF(C22="","",IF(L22&lt;&gt;"","支払済","未払"))</f>
        <v/>
      </c>
    </row>
    <row r="23">
      <c r="A23" s="18">
        <f>IF(C23&lt;&gt;"",ROW()-1,"")</f>
        <v/>
      </c>
      <c r="B23" s="19" t="n"/>
      <c r="C23" s="20" t="n"/>
      <c r="D23" s="18">
        <f>IF(C23="","",IFERROR(VLOOKUP(C23,マスター!A:B,2,0),""))</f>
        <v/>
      </c>
      <c r="E23" s="18">
        <f>IF(C23="","",IFERROR(VLOOKUP(C23,マスター!A:C,3,0),""))</f>
        <v/>
      </c>
      <c r="F23" s="20" t="n"/>
      <c r="G23" s="21" t="n"/>
      <c r="H23" s="21">
        <f>IF(G23="","",G23*0.1)</f>
        <v/>
      </c>
      <c r="I23" s="21">
        <f>IF(G23="","",G23+H23)</f>
        <v/>
      </c>
      <c r="J23" s="19" t="n"/>
      <c r="K23" s="19">
        <f>IF(J23="","",EOMONTH(J23,1))</f>
        <v/>
      </c>
      <c r="L23" s="19" t="n"/>
      <c r="M23" s="21" t="n"/>
      <c r="N23" s="18">
        <f>IF(C23="","",IF(L23&lt;&gt;"","支払済","未払"))</f>
        <v/>
      </c>
    </row>
    <row r="24">
      <c r="A24" s="14">
        <f>IF(C24&lt;&gt;"",ROW()-1,"")</f>
        <v/>
      </c>
      <c r="B24" s="15" t="n"/>
      <c r="C24" s="16" t="n"/>
      <c r="D24" s="14">
        <f>IF(C24="","",IFERROR(VLOOKUP(C24,マスター!A:B,2,0),""))</f>
        <v/>
      </c>
      <c r="E24" s="14">
        <f>IF(C24="","",IFERROR(VLOOKUP(C24,マスター!A:C,3,0),""))</f>
        <v/>
      </c>
      <c r="F24" s="16" t="n"/>
      <c r="G24" s="17" t="n"/>
      <c r="H24" s="17">
        <f>IF(G24="","",G24*0.1)</f>
        <v/>
      </c>
      <c r="I24" s="17">
        <f>IF(G24="","",G24+H24)</f>
        <v/>
      </c>
      <c r="J24" s="15" t="n"/>
      <c r="K24" s="15">
        <f>IF(J24="","",EOMONTH(J24,1))</f>
        <v/>
      </c>
      <c r="L24" s="15" t="n"/>
      <c r="M24" s="17" t="n"/>
      <c r="N24" s="14">
        <f>IF(C24="","",IF(L24&lt;&gt;"","支払済","未払"))</f>
        <v/>
      </c>
    </row>
    <row r="25">
      <c r="A25" s="18">
        <f>IF(C25&lt;&gt;"",ROW()-1,"")</f>
        <v/>
      </c>
      <c r="B25" s="19" t="n"/>
      <c r="C25" s="20" t="n"/>
      <c r="D25" s="18">
        <f>IF(C25="","",IFERROR(VLOOKUP(C25,マスター!A:B,2,0),""))</f>
        <v/>
      </c>
      <c r="E25" s="18">
        <f>IF(C25="","",IFERROR(VLOOKUP(C25,マスター!A:C,3,0),""))</f>
        <v/>
      </c>
      <c r="F25" s="20" t="n"/>
      <c r="G25" s="21" t="n"/>
      <c r="H25" s="21">
        <f>IF(G25="","",G25*0.1)</f>
        <v/>
      </c>
      <c r="I25" s="21">
        <f>IF(G25="","",G25+H25)</f>
        <v/>
      </c>
      <c r="J25" s="19" t="n"/>
      <c r="K25" s="19">
        <f>IF(J25="","",EOMONTH(J25,1))</f>
        <v/>
      </c>
      <c r="L25" s="19" t="n"/>
      <c r="M25" s="21" t="n"/>
      <c r="N25" s="18">
        <f>IF(C25="","",IF(L25&lt;&gt;"","支払済","未払"))</f>
        <v/>
      </c>
    </row>
    <row r="26">
      <c r="A26" s="14">
        <f>IF(C26&lt;&gt;"",ROW()-1,"")</f>
        <v/>
      </c>
      <c r="B26" s="15" t="n"/>
      <c r="C26" s="16" t="n"/>
      <c r="D26" s="14">
        <f>IF(C26="","",IFERROR(VLOOKUP(C26,マスター!A:B,2,0),""))</f>
        <v/>
      </c>
      <c r="E26" s="14">
        <f>IF(C26="","",IFERROR(VLOOKUP(C26,マスター!A:C,3,0),""))</f>
        <v/>
      </c>
      <c r="F26" s="16" t="n"/>
      <c r="G26" s="17" t="n"/>
      <c r="H26" s="17">
        <f>IF(G26="","",G26*0.1)</f>
        <v/>
      </c>
      <c r="I26" s="17">
        <f>IF(G26="","",G26+H26)</f>
        <v/>
      </c>
      <c r="J26" s="15" t="n"/>
      <c r="K26" s="15">
        <f>IF(J26="","",EOMONTH(J26,1))</f>
        <v/>
      </c>
      <c r="L26" s="15" t="n"/>
      <c r="M26" s="17" t="n"/>
      <c r="N26" s="14">
        <f>IF(C26="","",IF(L26&lt;&gt;"","支払済","未払"))</f>
        <v/>
      </c>
    </row>
    <row r="27">
      <c r="A27" s="18">
        <f>IF(C27&lt;&gt;"",ROW()-1,"")</f>
        <v/>
      </c>
      <c r="B27" s="19" t="n"/>
      <c r="C27" s="20" t="n"/>
      <c r="D27" s="18">
        <f>IF(C27="","",IFERROR(VLOOKUP(C27,マスター!A:B,2,0),""))</f>
        <v/>
      </c>
      <c r="E27" s="18">
        <f>IF(C27="","",IFERROR(VLOOKUP(C27,マスター!A:C,3,0),""))</f>
        <v/>
      </c>
      <c r="F27" s="20" t="n"/>
      <c r="G27" s="21" t="n"/>
      <c r="H27" s="21">
        <f>IF(G27="","",G27*0.1)</f>
        <v/>
      </c>
      <c r="I27" s="21">
        <f>IF(G27="","",G27+H27)</f>
        <v/>
      </c>
      <c r="J27" s="19" t="n"/>
      <c r="K27" s="19">
        <f>IF(J27="","",EOMONTH(J27,1))</f>
        <v/>
      </c>
      <c r="L27" s="19" t="n"/>
      <c r="M27" s="21" t="n"/>
      <c r="N27" s="18">
        <f>IF(C27="","",IF(L27&lt;&gt;"","支払済","未払"))</f>
        <v/>
      </c>
    </row>
    <row r="28">
      <c r="A28" s="14">
        <f>IF(C28&lt;&gt;"",ROW()-1,"")</f>
        <v/>
      </c>
      <c r="B28" s="15" t="n"/>
      <c r="C28" s="16" t="n"/>
      <c r="D28" s="14">
        <f>IF(C28="","",IFERROR(VLOOKUP(C28,マスター!A:B,2,0),""))</f>
        <v/>
      </c>
      <c r="E28" s="14">
        <f>IF(C28="","",IFERROR(VLOOKUP(C28,マスター!A:C,3,0),""))</f>
        <v/>
      </c>
      <c r="F28" s="16" t="n"/>
      <c r="G28" s="17" t="n"/>
      <c r="H28" s="17">
        <f>IF(G28="","",G28*0.1)</f>
        <v/>
      </c>
      <c r="I28" s="17">
        <f>IF(G28="","",G28+H28)</f>
        <v/>
      </c>
      <c r="J28" s="15" t="n"/>
      <c r="K28" s="15">
        <f>IF(J28="","",EOMONTH(J28,1))</f>
        <v/>
      </c>
      <c r="L28" s="15" t="n"/>
      <c r="M28" s="17" t="n"/>
      <c r="N28" s="14">
        <f>IF(C28="","",IF(L28&lt;&gt;"","支払済","未払"))</f>
        <v/>
      </c>
    </row>
    <row r="29">
      <c r="A29" s="18">
        <f>IF(C29&lt;&gt;"",ROW()-1,"")</f>
        <v/>
      </c>
      <c r="B29" s="19" t="n"/>
      <c r="C29" s="20" t="n"/>
      <c r="D29" s="18">
        <f>IF(C29="","",IFERROR(VLOOKUP(C29,マスター!A:B,2,0),""))</f>
        <v/>
      </c>
      <c r="E29" s="18">
        <f>IF(C29="","",IFERROR(VLOOKUP(C29,マスター!A:C,3,0),""))</f>
        <v/>
      </c>
      <c r="F29" s="20" t="n"/>
      <c r="G29" s="21" t="n"/>
      <c r="H29" s="21">
        <f>IF(G29="","",G29*0.1)</f>
        <v/>
      </c>
      <c r="I29" s="21">
        <f>IF(G29="","",G29+H29)</f>
        <v/>
      </c>
      <c r="J29" s="19" t="n"/>
      <c r="K29" s="19">
        <f>IF(J29="","",EOMONTH(J29,1))</f>
        <v/>
      </c>
      <c r="L29" s="19" t="n"/>
      <c r="M29" s="21" t="n"/>
      <c r="N29" s="18">
        <f>IF(C29="","",IF(L29&lt;&gt;"","支払済","未払"))</f>
        <v/>
      </c>
    </row>
    <row r="30">
      <c r="A30" s="14">
        <f>IF(C30&lt;&gt;"",ROW()-1,"")</f>
        <v/>
      </c>
      <c r="B30" s="15" t="n"/>
      <c r="C30" s="16" t="n"/>
      <c r="D30" s="14">
        <f>IF(C30="","",IFERROR(VLOOKUP(C30,マスター!A:B,2,0),""))</f>
        <v/>
      </c>
      <c r="E30" s="14">
        <f>IF(C30="","",IFERROR(VLOOKUP(C30,マスター!A:C,3,0),""))</f>
        <v/>
      </c>
      <c r="F30" s="16" t="n"/>
      <c r="G30" s="17" t="n"/>
      <c r="H30" s="17">
        <f>IF(G30="","",G30*0.1)</f>
        <v/>
      </c>
      <c r="I30" s="17">
        <f>IF(G30="","",G30+H30)</f>
        <v/>
      </c>
      <c r="J30" s="15" t="n"/>
      <c r="K30" s="15">
        <f>IF(J30="","",EOMONTH(J30,1))</f>
        <v/>
      </c>
      <c r="L30" s="15" t="n"/>
      <c r="M30" s="17" t="n"/>
      <c r="N30" s="14">
        <f>IF(C30="","",IF(L30&lt;&gt;"","支払済","未払"))</f>
        <v/>
      </c>
    </row>
    <row r="31">
      <c r="A31" s="18">
        <f>IF(C31&lt;&gt;"",ROW()-1,"")</f>
        <v/>
      </c>
      <c r="B31" s="19" t="n"/>
      <c r="C31" s="20" t="n"/>
      <c r="D31" s="18">
        <f>IF(C31="","",IFERROR(VLOOKUP(C31,マスター!A:B,2,0),""))</f>
        <v/>
      </c>
      <c r="E31" s="18">
        <f>IF(C31="","",IFERROR(VLOOKUP(C31,マスター!A:C,3,0),""))</f>
        <v/>
      </c>
      <c r="F31" s="20" t="n"/>
      <c r="G31" s="21" t="n"/>
      <c r="H31" s="21">
        <f>IF(G31="","",G31*0.1)</f>
        <v/>
      </c>
      <c r="I31" s="21">
        <f>IF(G31="","",G31+H31)</f>
        <v/>
      </c>
      <c r="J31" s="19" t="n"/>
      <c r="K31" s="19">
        <f>IF(J31="","",EOMONTH(J31,1))</f>
        <v/>
      </c>
      <c r="L31" s="19" t="n"/>
      <c r="M31" s="21" t="n"/>
      <c r="N31" s="18">
        <f>IF(C31="","",IF(L31&lt;&gt;"","支払済","未払"))</f>
        <v/>
      </c>
    </row>
    <row r="32">
      <c r="A32" s="14">
        <f>IF(C32&lt;&gt;"",ROW()-1,"")</f>
        <v/>
      </c>
      <c r="B32" s="15" t="n"/>
      <c r="C32" s="16" t="n"/>
      <c r="D32" s="14">
        <f>IF(C32="","",IFERROR(VLOOKUP(C32,マスター!A:B,2,0),""))</f>
        <v/>
      </c>
      <c r="E32" s="14">
        <f>IF(C32="","",IFERROR(VLOOKUP(C32,マスター!A:C,3,0),""))</f>
        <v/>
      </c>
      <c r="F32" s="16" t="n"/>
      <c r="G32" s="17" t="n"/>
      <c r="H32" s="17">
        <f>IF(G32="","",G32*0.1)</f>
        <v/>
      </c>
      <c r="I32" s="17">
        <f>IF(G32="","",G32+H32)</f>
        <v/>
      </c>
      <c r="J32" s="15" t="n"/>
      <c r="K32" s="15">
        <f>IF(J32="","",EOMONTH(J32,1))</f>
        <v/>
      </c>
      <c r="L32" s="15" t="n"/>
      <c r="M32" s="17" t="n"/>
      <c r="N32" s="14">
        <f>IF(C32="","",IF(L32&lt;&gt;"","支払済","未払"))</f>
        <v/>
      </c>
    </row>
    <row r="33">
      <c r="A33" s="18">
        <f>IF(C33&lt;&gt;"",ROW()-1,"")</f>
        <v/>
      </c>
      <c r="B33" s="19" t="n"/>
      <c r="C33" s="20" t="n"/>
      <c r="D33" s="18">
        <f>IF(C33="","",IFERROR(VLOOKUP(C33,マスター!A:B,2,0),""))</f>
        <v/>
      </c>
      <c r="E33" s="18">
        <f>IF(C33="","",IFERROR(VLOOKUP(C33,マスター!A:C,3,0),""))</f>
        <v/>
      </c>
      <c r="F33" s="20" t="n"/>
      <c r="G33" s="21" t="n"/>
      <c r="H33" s="21">
        <f>IF(G33="","",G33*0.1)</f>
        <v/>
      </c>
      <c r="I33" s="21">
        <f>IF(G33="","",G33+H33)</f>
        <v/>
      </c>
      <c r="J33" s="19" t="n"/>
      <c r="K33" s="19">
        <f>IF(J33="","",EOMONTH(J33,1))</f>
        <v/>
      </c>
      <c r="L33" s="19" t="n"/>
      <c r="M33" s="21" t="n"/>
      <c r="N33" s="18">
        <f>IF(C33="","",IF(L33&lt;&gt;"","支払済","未払"))</f>
        <v/>
      </c>
    </row>
    <row r="34">
      <c r="A34" s="14">
        <f>IF(C34&lt;&gt;"",ROW()-1,"")</f>
        <v/>
      </c>
      <c r="B34" s="15" t="n"/>
      <c r="C34" s="16" t="n"/>
      <c r="D34" s="14">
        <f>IF(C34="","",IFERROR(VLOOKUP(C34,マスター!A:B,2,0),""))</f>
        <v/>
      </c>
      <c r="E34" s="14">
        <f>IF(C34="","",IFERROR(VLOOKUP(C34,マスター!A:C,3,0),""))</f>
        <v/>
      </c>
      <c r="F34" s="16" t="n"/>
      <c r="G34" s="17" t="n"/>
      <c r="H34" s="17">
        <f>IF(G34="","",G34*0.1)</f>
        <v/>
      </c>
      <c r="I34" s="17">
        <f>IF(G34="","",G34+H34)</f>
        <v/>
      </c>
      <c r="J34" s="15" t="n"/>
      <c r="K34" s="15">
        <f>IF(J34="","",EOMONTH(J34,1))</f>
        <v/>
      </c>
      <c r="L34" s="15" t="n"/>
      <c r="M34" s="17" t="n"/>
      <c r="N34" s="14">
        <f>IF(C34="","",IF(L34&lt;&gt;"","支払済","未払"))</f>
        <v/>
      </c>
    </row>
    <row r="35">
      <c r="A35" s="18">
        <f>IF(C35&lt;&gt;"",ROW()-1,"")</f>
        <v/>
      </c>
      <c r="B35" s="19" t="n"/>
      <c r="C35" s="20" t="n"/>
      <c r="D35" s="18">
        <f>IF(C35="","",IFERROR(VLOOKUP(C35,マスター!A:B,2,0),""))</f>
        <v/>
      </c>
      <c r="E35" s="18">
        <f>IF(C35="","",IFERROR(VLOOKUP(C35,マスター!A:C,3,0),""))</f>
        <v/>
      </c>
      <c r="F35" s="20" t="n"/>
      <c r="G35" s="21" t="n"/>
      <c r="H35" s="21">
        <f>IF(G35="","",G35*0.1)</f>
        <v/>
      </c>
      <c r="I35" s="21">
        <f>IF(G35="","",G35+H35)</f>
        <v/>
      </c>
      <c r="J35" s="19" t="n"/>
      <c r="K35" s="19">
        <f>IF(J35="","",EOMONTH(J35,1))</f>
        <v/>
      </c>
      <c r="L35" s="19" t="n"/>
      <c r="M35" s="21" t="n"/>
      <c r="N35" s="18">
        <f>IF(C35="","",IF(L35&lt;&gt;"","支払済","未払"))</f>
        <v/>
      </c>
    </row>
    <row r="36">
      <c r="A36" s="14">
        <f>IF(C36&lt;&gt;"",ROW()-1,"")</f>
        <v/>
      </c>
      <c r="B36" s="15" t="n"/>
      <c r="C36" s="16" t="n"/>
      <c r="D36" s="14">
        <f>IF(C36="","",IFERROR(VLOOKUP(C36,マスター!A:B,2,0),""))</f>
        <v/>
      </c>
      <c r="E36" s="14">
        <f>IF(C36="","",IFERROR(VLOOKUP(C36,マスター!A:C,3,0),""))</f>
        <v/>
      </c>
      <c r="F36" s="16" t="n"/>
      <c r="G36" s="17" t="n"/>
      <c r="H36" s="17">
        <f>IF(G36="","",G36*0.1)</f>
        <v/>
      </c>
      <c r="I36" s="17">
        <f>IF(G36="","",G36+H36)</f>
        <v/>
      </c>
      <c r="J36" s="15" t="n"/>
      <c r="K36" s="15">
        <f>IF(J36="","",EOMONTH(J36,1))</f>
        <v/>
      </c>
      <c r="L36" s="15" t="n"/>
      <c r="M36" s="17" t="n"/>
      <c r="N36" s="14">
        <f>IF(C36="","",IF(L36&lt;&gt;"","支払済","未払"))</f>
        <v/>
      </c>
    </row>
    <row r="37">
      <c r="A37" s="18">
        <f>IF(C37&lt;&gt;"",ROW()-1,"")</f>
        <v/>
      </c>
      <c r="B37" s="19" t="n"/>
      <c r="C37" s="20" t="n"/>
      <c r="D37" s="18">
        <f>IF(C37="","",IFERROR(VLOOKUP(C37,マスター!A:B,2,0),""))</f>
        <v/>
      </c>
      <c r="E37" s="18">
        <f>IF(C37="","",IFERROR(VLOOKUP(C37,マスター!A:C,3,0),""))</f>
        <v/>
      </c>
      <c r="F37" s="20" t="n"/>
      <c r="G37" s="21" t="n"/>
      <c r="H37" s="21">
        <f>IF(G37="","",G37*0.1)</f>
        <v/>
      </c>
      <c r="I37" s="21">
        <f>IF(G37="","",G37+H37)</f>
        <v/>
      </c>
      <c r="J37" s="19" t="n"/>
      <c r="K37" s="19">
        <f>IF(J37="","",EOMONTH(J37,1))</f>
        <v/>
      </c>
      <c r="L37" s="19" t="n"/>
      <c r="M37" s="21" t="n"/>
      <c r="N37" s="18">
        <f>IF(C37="","",IF(L37&lt;&gt;"","支払済","未払"))</f>
        <v/>
      </c>
    </row>
    <row r="38">
      <c r="A38" s="14">
        <f>IF(C38&lt;&gt;"",ROW()-1,"")</f>
        <v/>
      </c>
      <c r="B38" s="15" t="n"/>
      <c r="C38" s="16" t="n"/>
      <c r="D38" s="14">
        <f>IF(C38="","",IFERROR(VLOOKUP(C38,マスター!A:B,2,0),""))</f>
        <v/>
      </c>
      <c r="E38" s="14">
        <f>IF(C38="","",IFERROR(VLOOKUP(C38,マスター!A:C,3,0),""))</f>
        <v/>
      </c>
      <c r="F38" s="16" t="n"/>
      <c r="G38" s="17" t="n"/>
      <c r="H38" s="17">
        <f>IF(G38="","",G38*0.1)</f>
        <v/>
      </c>
      <c r="I38" s="17">
        <f>IF(G38="","",G38+H38)</f>
        <v/>
      </c>
      <c r="J38" s="15" t="n"/>
      <c r="K38" s="15">
        <f>IF(J38="","",EOMONTH(J38,1))</f>
        <v/>
      </c>
      <c r="L38" s="15" t="n"/>
      <c r="M38" s="17" t="n"/>
      <c r="N38" s="14">
        <f>IF(C38="","",IF(L38&lt;&gt;"","支払済","未払"))</f>
        <v/>
      </c>
    </row>
    <row r="39">
      <c r="A39" s="18">
        <f>IF(C39&lt;&gt;"",ROW()-1,"")</f>
        <v/>
      </c>
      <c r="B39" s="19" t="n"/>
      <c r="C39" s="20" t="n"/>
      <c r="D39" s="18">
        <f>IF(C39="","",IFERROR(VLOOKUP(C39,マスター!A:B,2,0),""))</f>
        <v/>
      </c>
      <c r="E39" s="18">
        <f>IF(C39="","",IFERROR(VLOOKUP(C39,マスター!A:C,3,0),""))</f>
        <v/>
      </c>
      <c r="F39" s="20" t="n"/>
      <c r="G39" s="21" t="n"/>
      <c r="H39" s="21">
        <f>IF(G39="","",G39*0.1)</f>
        <v/>
      </c>
      <c r="I39" s="21">
        <f>IF(G39="","",G39+H39)</f>
        <v/>
      </c>
      <c r="J39" s="19" t="n"/>
      <c r="K39" s="19">
        <f>IF(J39="","",EOMONTH(J39,1))</f>
        <v/>
      </c>
      <c r="L39" s="19" t="n"/>
      <c r="M39" s="21" t="n"/>
      <c r="N39" s="18">
        <f>IF(C39="","",IF(L39&lt;&gt;"","支払済","未払"))</f>
        <v/>
      </c>
    </row>
    <row r="40">
      <c r="A40" s="14">
        <f>IF(C40&lt;&gt;"",ROW()-1,"")</f>
        <v/>
      </c>
      <c r="B40" s="15" t="n"/>
      <c r="C40" s="16" t="n"/>
      <c r="D40" s="14">
        <f>IF(C40="","",IFERROR(VLOOKUP(C40,マスター!A:B,2,0),""))</f>
        <v/>
      </c>
      <c r="E40" s="14">
        <f>IF(C40="","",IFERROR(VLOOKUP(C40,マスター!A:C,3,0),""))</f>
        <v/>
      </c>
      <c r="F40" s="16" t="n"/>
      <c r="G40" s="17" t="n"/>
      <c r="H40" s="17">
        <f>IF(G40="","",G40*0.1)</f>
        <v/>
      </c>
      <c r="I40" s="17">
        <f>IF(G40="","",G40+H40)</f>
        <v/>
      </c>
      <c r="J40" s="15" t="n"/>
      <c r="K40" s="15">
        <f>IF(J40="","",EOMONTH(J40,1))</f>
        <v/>
      </c>
      <c r="L40" s="15" t="n"/>
      <c r="M40" s="17" t="n"/>
      <c r="N40" s="14">
        <f>IF(C40="","",IF(L40&lt;&gt;"","支払済","未払"))</f>
        <v/>
      </c>
    </row>
    <row r="41">
      <c r="A41" s="18">
        <f>IF(C41&lt;&gt;"",ROW()-1,"")</f>
        <v/>
      </c>
      <c r="B41" s="19" t="n"/>
      <c r="C41" s="20" t="n"/>
      <c r="D41" s="18">
        <f>IF(C41="","",IFERROR(VLOOKUP(C41,マスター!A:B,2,0),""))</f>
        <v/>
      </c>
      <c r="E41" s="18">
        <f>IF(C41="","",IFERROR(VLOOKUP(C41,マスター!A:C,3,0),""))</f>
        <v/>
      </c>
      <c r="F41" s="20" t="n"/>
      <c r="G41" s="21" t="n"/>
      <c r="H41" s="21">
        <f>IF(G41="","",G41*0.1)</f>
        <v/>
      </c>
      <c r="I41" s="21">
        <f>IF(G41="","",G41+H41)</f>
        <v/>
      </c>
      <c r="J41" s="19" t="n"/>
      <c r="K41" s="19">
        <f>IF(J41="","",EOMONTH(J41,1))</f>
        <v/>
      </c>
      <c r="L41" s="19" t="n"/>
      <c r="M41" s="21" t="n"/>
      <c r="N41" s="18">
        <f>IF(C41="","",IF(L41&lt;&gt;"","支払済","未払"))</f>
        <v/>
      </c>
    </row>
    <row r="42">
      <c r="A42" s="14">
        <f>IF(C42&lt;&gt;"",ROW()-1,"")</f>
        <v/>
      </c>
      <c r="B42" s="15" t="n"/>
      <c r="C42" s="16" t="n"/>
      <c r="D42" s="14">
        <f>IF(C42="","",IFERROR(VLOOKUP(C42,マスター!A:B,2,0),""))</f>
        <v/>
      </c>
      <c r="E42" s="14">
        <f>IF(C42="","",IFERROR(VLOOKUP(C42,マスター!A:C,3,0),""))</f>
        <v/>
      </c>
      <c r="F42" s="16" t="n"/>
      <c r="G42" s="17" t="n"/>
      <c r="H42" s="17">
        <f>IF(G42="","",G42*0.1)</f>
        <v/>
      </c>
      <c r="I42" s="17">
        <f>IF(G42="","",G42+H42)</f>
        <v/>
      </c>
      <c r="J42" s="15" t="n"/>
      <c r="K42" s="15">
        <f>IF(J42="","",EOMONTH(J42,1))</f>
        <v/>
      </c>
      <c r="L42" s="15" t="n"/>
      <c r="M42" s="17" t="n"/>
      <c r="N42" s="14">
        <f>IF(C42="","",IF(L42&lt;&gt;"","支払済","未払"))</f>
        <v/>
      </c>
    </row>
    <row r="43">
      <c r="A43" s="18">
        <f>IF(C43&lt;&gt;"",ROW()-1,"")</f>
        <v/>
      </c>
      <c r="B43" s="19" t="n"/>
      <c r="C43" s="20" t="n"/>
      <c r="D43" s="18">
        <f>IF(C43="","",IFERROR(VLOOKUP(C43,マスター!A:B,2,0),""))</f>
        <v/>
      </c>
      <c r="E43" s="18">
        <f>IF(C43="","",IFERROR(VLOOKUP(C43,マスター!A:C,3,0),""))</f>
        <v/>
      </c>
      <c r="F43" s="20" t="n"/>
      <c r="G43" s="21" t="n"/>
      <c r="H43" s="21">
        <f>IF(G43="","",G43*0.1)</f>
        <v/>
      </c>
      <c r="I43" s="21">
        <f>IF(G43="","",G43+H43)</f>
        <v/>
      </c>
      <c r="J43" s="19" t="n"/>
      <c r="K43" s="19">
        <f>IF(J43="","",EOMONTH(J43,1))</f>
        <v/>
      </c>
      <c r="L43" s="19" t="n"/>
      <c r="M43" s="21" t="n"/>
      <c r="N43" s="18">
        <f>IF(C43="","",IF(L43&lt;&gt;"","支払済","未払"))</f>
        <v/>
      </c>
    </row>
    <row r="44">
      <c r="A44" s="14">
        <f>IF(C44&lt;&gt;"",ROW()-1,"")</f>
        <v/>
      </c>
      <c r="B44" s="15" t="n"/>
      <c r="C44" s="16" t="n"/>
      <c r="D44" s="14">
        <f>IF(C44="","",IFERROR(VLOOKUP(C44,マスター!A:B,2,0),""))</f>
        <v/>
      </c>
      <c r="E44" s="14">
        <f>IF(C44="","",IFERROR(VLOOKUP(C44,マスター!A:C,3,0),""))</f>
        <v/>
      </c>
      <c r="F44" s="16" t="n"/>
      <c r="G44" s="17" t="n"/>
      <c r="H44" s="17">
        <f>IF(G44="","",G44*0.1)</f>
        <v/>
      </c>
      <c r="I44" s="17">
        <f>IF(G44="","",G44+H44)</f>
        <v/>
      </c>
      <c r="J44" s="15" t="n"/>
      <c r="K44" s="15">
        <f>IF(J44="","",EOMONTH(J44,1))</f>
        <v/>
      </c>
      <c r="L44" s="15" t="n"/>
      <c r="M44" s="17" t="n"/>
      <c r="N44" s="14">
        <f>IF(C44="","",IF(L44&lt;&gt;"","支払済","未払"))</f>
        <v/>
      </c>
    </row>
    <row r="45">
      <c r="A45" s="18">
        <f>IF(C45&lt;&gt;"",ROW()-1,"")</f>
        <v/>
      </c>
      <c r="B45" s="19" t="n"/>
      <c r="C45" s="20" t="n"/>
      <c r="D45" s="18">
        <f>IF(C45="","",IFERROR(VLOOKUP(C45,マスター!A:B,2,0),""))</f>
        <v/>
      </c>
      <c r="E45" s="18">
        <f>IF(C45="","",IFERROR(VLOOKUP(C45,マスター!A:C,3,0),""))</f>
        <v/>
      </c>
      <c r="F45" s="20" t="n"/>
      <c r="G45" s="21" t="n"/>
      <c r="H45" s="21">
        <f>IF(G45="","",G45*0.1)</f>
        <v/>
      </c>
      <c r="I45" s="21">
        <f>IF(G45="","",G45+H45)</f>
        <v/>
      </c>
      <c r="J45" s="19" t="n"/>
      <c r="K45" s="19">
        <f>IF(J45="","",EOMONTH(J45,1))</f>
        <v/>
      </c>
      <c r="L45" s="19" t="n"/>
      <c r="M45" s="21" t="n"/>
      <c r="N45" s="18">
        <f>IF(C45="","",IF(L45&lt;&gt;"","支払済","未払"))</f>
        <v/>
      </c>
    </row>
    <row r="46">
      <c r="A46" s="14">
        <f>IF(C46&lt;&gt;"",ROW()-1,"")</f>
        <v/>
      </c>
      <c r="B46" s="15" t="n"/>
      <c r="C46" s="16" t="n"/>
      <c r="D46" s="14">
        <f>IF(C46="","",IFERROR(VLOOKUP(C46,マスター!A:B,2,0),""))</f>
        <v/>
      </c>
      <c r="E46" s="14">
        <f>IF(C46="","",IFERROR(VLOOKUP(C46,マスター!A:C,3,0),""))</f>
        <v/>
      </c>
      <c r="F46" s="16" t="n"/>
      <c r="G46" s="17" t="n"/>
      <c r="H46" s="17">
        <f>IF(G46="","",G46*0.1)</f>
        <v/>
      </c>
      <c r="I46" s="17">
        <f>IF(G46="","",G46+H46)</f>
        <v/>
      </c>
      <c r="J46" s="15" t="n"/>
      <c r="K46" s="15">
        <f>IF(J46="","",EOMONTH(J46,1))</f>
        <v/>
      </c>
      <c r="L46" s="15" t="n"/>
      <c r="M46" s="17" t="n"/>
      <c r="N46" s="14">
        <f>IF(C46="","",IF(L46&lt;&gt;"","支払済","未払"))</f>
        <v/>
      </c>
    </row>
    <row r="47">
      <c r="A47" s="18">
        <f>IF(C47&lt;&gt;"",ROW()-1,"")</f>
        <v/>
      </c>
      <c r="B47" s="19" t="n"/>
      <c r="C47" s="20" t="n"/>
      <c r="D47" s="18">
        <f>IF(C47="","",IFERROR(VLOOKUP(C47,マスター!A:B,2,0),""))</f>
        <v/>
      </c>
      <c r="E47" s="18">
        <f>IF(C47="","",IFERROR(VLOOKUP(C47,マスター!A:C,3,0),""))</f>
        <v/>
      </c>
      <c r="F47" s="20" t="n"/>
      <c r="G47" s="21" t="n"/>
      <c r="H47" s="21">
        <f>IF(G47="","",G47*0.1)</f>
        <v/>
      </c>
      <c r="I47" s="21">
        <f>IF(G47="","",G47+H47)</f>
        <v/>
      </c>
      <c r="J47" s="19" t="n"/>
      <c r="K47" s="19">
        <f>IF(J47="","",EOMONTH(J47,1))</f>
        <v/>
      </c>
      <c r="L47" s="19" t="n"/>
      <c r="M47" s="21" t="n"/>
      <c r="N47" s="18">
        <f>IF(C47="","",IF(L47&lt;&gt;"","支払済","未払"))</f>
        <v/>
      </c>
    </row>
    <row r="48">
      <c r="A48" s="14">
        <f>IF(C48&lt;&gt;"",ROW()-1,"")</f>
        <v/>
      </c>
      <c r="B48" s="15" t="n"/>
      <c r="C48" s="16" t="n"/>
      <c r="D48" s="14">
        <f>IF(C48="","",IFERROR(VLOOKUP(C48,マスター!A:B,2,0),""))</f>
        <v/>
      </c>
      <c r="E48" s="14">
        <f>IF(C48="","",IFERROR(VLOOKUP(C48,マスター!A:C,3,0),""))</f>
        <v/>
      </c>
      <c r="F48" s="16" t="n"/>
      <c r="G48" s="17" t="n"/>
      <c r="H48" s="17">
        <f>IF(G48="","",G48*0.1)</f>
        <v/>
      </c>
      <c r="I48" s="17">
        <f>IF(G48="","",G48+H48)</f>
        <v/>
      </c>
      <c r="J48" s="15" t="n"/>
      <c r="K48" s="15">
        <f>IF(J48="","",EOMONTH(J48,1))</f>
        <v/>
      </c>
      <c r="L48" s="15" t="n"/>
      <c r="M48" s="17" t="n"/>
      <c r="N48" s="14">
        <f>IF(C48="","",IF(L48&lt;&gt;"","支払済","未払"))</f>
        <v/>
      </c>
    </row>
    <row r="49">
      <c r="A49" s="18">
        <f>IF(C49&lt;&gt;"",ROW()-1,"")</f>
        <v/>
      </c>
      <c r="B49" s="19" t="n"/>
      <c r="C49" s="20" t="n"/>
      <c r="D49" s="18">
        <f>IF(C49="","",IFERROR(VLOOKUP(C49,マスター!A:B,2,0),""))</f>
        <v/>
      </c>
      <c r="E49" s="18">
        <f>IF(C49="","",IFERROR(VLOOKUP(C49,マスター!A:C,3,0),""))</f>
        <v/>
      </c>
      <c r="F49" s="20" t="n"/>
      <c r="G49" s="21" t="n"/>
      <c r="H49" s="21">
        <f>IF(G49="","",G49*0.1)</f>
        <v/>
      </c>
      <c r="I49" s="21">
        <f>IF(G49="","",G49+H49)</f>
        <v/>
      </c>
      <c r="J49" s="19" t="n"/>
      <c r="K49" s="19">
        <f>IF(J49="","",EOMONTH(J49,1))</f>
        <v/>
      </c>
      <c r="L49" s="19" t="n"/>
      <c r="M49" s="21" t="n"/>
      <c r="N49" s="18">
        <f>IF(C49="","",IF(L49&lt;&gt;"","支払済","未払"))</f>
        <v/>
      </c>
    </row>
    <row r="50">
      <c r="A50" s="14">
        <f>IF(C50&lt;&gt;"",ROW()-1,"")</f>
        <v/>
      </c>
      <c r="B50" s="15" t="n"/>
      <c r="C50" s="16" t="n"/>
      <c r="D50" s="14">
        <f>IF(C50="","",IFERROR(VLOOKUP(C50,マスター!A:B,2,0),""))</f>
        <v/>
      </c>
      <c r="E50" s="14">
        <f>IF(C50="","",IFERROR(VLOOKUP(C50,マスター!A:C,3,0),""))</f>
        <v/>
      </c>
      <c r="F50" s="16" t="n"/>
      <c r="G50" s="17" t="n"/>
      <c r="H50" s="17">
        <f>IF(G50="","",G50*0.1)</f>
        <v/>
      </c>
      <c r="I50" s="17">
        <f>IF(G50="","",G50+H50)</f>
        <v/>
      </c>
      <c r="J50" s="15" t="n"/>
      <c r="K50" s="15">
        <f>IF(J50="","",EOMONTH(J50,1))</f>
        <v/>
      </c>
      <c r="L50" s="15" t="n"/>
      <c r="M50" s="17" t="n"/>
      <c r="N50" s="14">
        <f>IF(C50="","",IF(L50&lt;&gt;"","支払済","未払"))</f>
        <v/>
      </c>
    </row>
    <row r="51">
      <c r="A51" s="18">
        <f>IF(C51&lt;&gt;"",ROW()-1,"")</f>
        <v/>
      </c>
      <c r="B51" s="19" t="n"/>
      <c r="C51" s="20" t="n"/>
      <c r="D51" s="18">
        <f>IF(C51="","",IFERROR(VLOOKUP(C51,マスター!A:B,2,0),""))</f>
        <v/>
      </c>
      <c r="E51" s="18">
        <f>IF(C51="","",IFERROR(VLOOKUP(C51,マスター!A:C,3,0),""))</f>
        <v/>
      </c>
      <c r="F51" s="20" t="n"/>
      <c r="G51" s="21" t="n"/>
      <c r="H51" s="21">
        <f>IF(G51="","",G51*0.1)</f>
        <v/>
      </c>
      <c r="I51" s="21">
        <f>IF(G51="","",G51+H51)</f>
        <v/>
      </c>
      <c r="J51" s="19" t="n"/>
      <c r="K51" s="19">
        <f>IF(J51="","",EOMONTH(J51,1))</f>
        <v/>
      </c>
      <c r="L51" s="19" t="n"/>
      <c r="M51" s="21" t="n"/>
      <c r="N51" s="18">
        <f>IF(C51="","",IF(L51&lt;&gt;"","支払済","未払"))</f>
        <v/>
      </c>
    </row>
    <row r="52">
      <c r="A52" s="14">
        <f>IF(C52&lt;&gt;"",ROW()-1,"")</f>
        <v/>
      </c>
      <c r="B52" s="15" t="n"/>
      <c r="C52" s="16" t="n"/>
      <c r="D52" s="14">
        <f>IF(C52="","",IFERROR(VLOOKUP(C52,マスター!A:B,2,0),""))</f>
        <v/>
      </c>
      <c r="E52" s="14">
        <f>IF(C52="","",IFERROR(VLOOKUP(C52,マスター!A:C,3,0),""))</f>
        <v/>
      </c>
      <c r="F52" s="16" t="n"/>
      <c r="G52" s="17" t="n"/>
      <c r="H52" s="17">
        <f>IF(G52="","",G52*0.1)</f>
        <v/>
      </c>
      <c r="I52" s="17">
        <f>IF(G52="","",G52+H52)</f>
        <v/>
      </c>
      <c r="J52" s="15" t="n"/>
      <c r="K52" s="15">
        <f>IF(J52="","",EOMONTH(J52,1))</f>
        <v/>
      </c>
      <c r="L52" s="15" t="n"/>
      <c r="M52" s="17" t="n"/>
      <c r="N52" s="14">
        <f>IF(C52="","",IF(L52&lt;&gt;"","支払済","未払"))</f>
        <v/>
      </c>
    </row>
    <row r="53">
      <c r="A53" s="18">
        <f>IF(C53&lt;&gt;"",ROW()-1,"")</f>
        <v/>
      </c>
      <c r="B53" s="19" t="n"/>
      <c r="C53" s="20" t="n"/>
      <c r="D53" s="18">
        <f>IF(C53="","",IFERROR(VLOOKUP(C53,マスター!A:B,2,0),""))</f>
        <v/>
      </c>
      <c r="E53" s="18">
        <f>IF(C53="","",IFERROR(VLOOKUP(C53,マスター!A:C,3,0),""))</f>
        <v/>
      </c>
      <c r="F53" s="20" t="n"/>
      <c r="G53" s="21" t="n"/>
      <c r="H53" s="21">
        <f>IF(G53="","",G53*0.1)</f>
        <v/>
      </c>
      <c r="I53" s="21">
        <f>IF(G53="","",G53+H53)</f>
        <v/>
      </c>
      <c r="J53" s="19" t="n"/>
      <c r="K53" s="19">
        <f>IF(J53="","",EOMONTH(J53,1))</f>
        <v/>
      </c>
      <c r="L53" s="19" t="n"/>
      <c r="M53" s="21" t="n"/>
      <c r="N53" s="18">
        <f>IF(C53="","",IF(L53&lt;&gt;"","支払済","未払"))</f>
        <v/>
      </c>
    </row>
    <row r="54">
      <c r="A54" s="14">
        <f>IF(C54&lt;&gt;"",ROW()-1,"")</f>
        <v/>
      </c>
      <c r="B54" s="15" t="n"/>
      <c r="C54" s="16" t="n"/>
      <c r="D54" s="14">
        <f>IF(C54="","",IFERROR(VLOOKUP(C54,マスター!A:B,2,0),""))</f>
        <v/>
      </c>
      <c r="E54" s="14">
        <f>IF(C54="","",IFERROR(VLOOKUP(C54,マスター!A:C,3,0),""))</f>
        <v/>
      </c>
      <c r="F54" s="16" t="n"/>
      <c r="G54" s="17" t="n"/>
      <c r="H54" s="17">
        <f>IF(G54="","",G54*0.1)</f>
        <v/>
      </c>
      <c r="I54" s="17">
        <f>IF(G54="","",G54+H54)</f>
        <v/>
      </c>
      <c r="J54" s="15" t="n"/>
      <c r="K54" s="15">
        <f>IF(J54="","",EOMONTH(J54,1))</f>
        <v/>
      </c>
      <c r="L54" s="15" t="n"/>
      <c r="M54" s="17" t="n"/>
      <c r="N54" s="14">
        <f>IF(C54="","",IF(L54&lt;&gt;"","支払済","未払"))</f>
        <v/>
      </c>
    </row>
    <row r="55">
      <c r="A55" s="18">
        <f>IF(C55&lt;&gt;"",ROW()-1,"")</f>
        <v/>
      </c>
      <c r="B55" s="19" t="n"/>
      <c r="C55" s="20" t="n"/>
      <c r="D55" s="18">
        <f>IF(C55="","",IFERROR(VLOOKUP(C55,マスター!A:B,2,0),""))</f>
        <v/>
      </c>
      <c r="E55" s="18">
        <f>IF(C55="","",IFERROR(VLOOKUP(C55,マスター!A:C,3,0),""))</f>
        <v/>
      </c>
      <c r="F55" s="20" t="n"/>
      <c r="G55" s="21" t="n"/>
      <c r="H55" s="21">
        <f>IF(G55="","",G55*0.1)</f>
        <v/>
      </c>
      <c r="I55" s="21">
        <f>IF(G55="","",G55+H55)</f>
        <v/>
      </c>
      <c r="J55" s="19" t="n"/>
      <c r="K55" s="19">
        <f>IF(J55="","",EOMONTH(J55,1))</f>
        <v/>
      </c>
      <c r="L55" s="19" t="n"/>
      <c r="M55" s="21" t="n"/>
      <c r="N55" s="18">
        <f>IF(C55="","",IF(L55&lt;&gt;"","支払済","未払"))</f>
        <v/>
      </c>
    </row>
    <row r="56">
      <c r="A56" s="14">
        <f>IF(C56&lt;&gt;"",ROW()-1,"")</f>
        <v/>
      </c>
      <c r="B56" s="15" t="n"/>
      <c r="C56" s="16" t="n"/>
      <c r="D56" s="14">
        <f>IF(C56="","",IFERROR(VLOOKUP(C56,マスター!A:B,2,0),""))</f>
        <v/>
      </c>
      <c r="E56" s="14">
        <f>IF(C56="","",IFERROR(VLOOKUP(C56,マスター!A:C,3,0),""))</f>
        <v/>
      </c>
      <c r="F56" s="16" t="n"/>
      <c r="G56" s="17" t="n"/>
      <c r="H56" s="17">
        <f>IF(G56="","",G56*0.1)</f>
        <v/>
      </c>
      <c r="I56" s="17">
        <f>IF(G56="","",G56+H56)</f>
        <v/>
      </c>
      <c r="J56" s="15" t="n"/>
      <c r="K56" s="15">
        <f>IF(J56="","",EOMONTH(J56,1))</f>
        <v/>
      </c>
      <c r="L56" s="15" t="n"/>
      <c r="M56" s="17" t="n"/>
      <c r="N56" s="14">
        <f>IF(C56="","",IF(L56&lt;&gt;"","支払済","未払"))</f>
        <v/>
      </c>
    </row>
    <row r="57">
      <c r="A57" s="18">
        <f>IF(C57&lt;&gt;"",ROW()-1,"")</f>
        <v/>
      </c>
      <c r="B57" s="19" t="n"/>
      <c r="C57" s="20" t="n"/>
      <c r="D57" s="18">
        <f>IF(C57="","",IFERROR(VLOOKUP(C57,マスター!A:B,2,0),""))</f>
        <v/>
      </c>
      <c r="E57" s="18">
        <f>IF(C57="","",IFERROR(VLOOKUP(C57,マスター!A:C,3,0),""))</f>
        <v/>
      </c>
      <c r="F57" s="20" t="n"/>
      <c r="G57" s="21" t="n"/>
      <c r="H57" s="21">
        <f>IF(G57="","",G57*0.1)</f>
        <v/>
      </c>
      <c r="I57" s="21">
        <f>IF(G57="","",G57+H57)</f>
        <v/>
      </c>
      <c r="J57" s="19" t="n"/>
      <c r="K57" s="19">
        <f>IF(J57="","",EOMONTH(J57,1))</f>
        <v/>
      </c>
      <c r="L57" s="19" t="n"/>
      <c r="M57" s="21" t="n"/>
      <c r="N57" s="18">
        <f>IF(C57="","",IF(L57&lt;&gt;"","支払済","未払"))</f>
        <v/>
      </c>
    </row>
    <row r="58">
      <c r="A58" s="14">
        <f>IF(C58&lt;&gt;"",ROW()-1,"")</f>
        <v/>
      </c>
      <c r="B58" s="15" t="n"/>
      <c r="C58" s="16" t="n"/>
      <c r="D58" s="14">
        <f>IF(C58="","",IFERROR(VLOOKUP(C58,マスター!A:B,2,0),""))</f>
        <v/>
      </c>
      <c r="E58" s="14">
        <f>IF(C58="","",IFERROR(VLOOKUP(C58,マスター!A:C,3,0),""))</f>
        <v/>
      </c>
      <c r="F58" s="16" t="n"/>
      <c r="G58" s="17" t="n"/>
      <c r="H58" s="17">
        <f>IF(G58="","",G58*0.1)</f>
        <v/>
      </c>
      <c r="I58" s="17">
        <f>IF(G58="","",G58+H58)</f>
        <v/>
      </c>
      <c r="J58" s="15" t="n"/>
      <c r="K58" s="15">
        <f>IF(J58="","",EOMONTH(J58,1))</f>
        <v/>
      </c>
      <c r="L58" s="15" t="n"/>
      <c r="M58" s="17" t="n"/>
      <c r="N58" s="14">
        <f>IF(C58="","",IF(L58&lt;&gt;"","支払済","未払"))</f>
        <v/>
      </c>
    </row>
    <row r="59">
      <c r="A59" s="18">
        <f>IF(C59&lt;&gt;"",ROW()-1,"")</f>
        <v/>
      </c>
      <c r="B59" s="19" t="n"/>
      <c r="C59" s="20" t="n"/>
      <c r="D59" s="18">
        <f>IF(C59="","",IFERROR(VLOOKUP(C59,マスター!A:B,2,0),""))</f>
        <v/>
      </c>
      <c r="E59" s="18">
        <f>IF(C59="","",IFERROR(VLOOKUP(C59,マスター!A:C,3,0),""))</f>
        <v/>
      </c>
      <c r="F59" s="20" t="n"/>
      <c r="G59" s="21" t="n"/>
      <c r="H59" s="21">
        <f>IF(G59="","",G59*0.1)</f>
        <v/>
      </c>
      <c r="I59" s="21">
        <f>IF(G59="","",G59+H59)</f>
        <v/>
      </c>
      <c r="J59" s="19" t="n"/>
      <c r="K59" s="19">
        <f>IF(J59="","",EOMONTH(J59,1))</f>
        <v/>
      </c>
      <c r="L59" s="19" t="n"/>
      <c r="M59" s="21" t="n"/>
      <c r="N59" s="18">
        <f>IF(C59="","",IF(L59&lt;&gt;"","支払済","未払"))</f>
        <v/>
      </c>
    </row>
    <row r="60">
      <c r="A60" s="14">
        <f>IF(C60&lt;&gt;"",ROW()-1,"")</f>
        <v/>
      </c>
      <c r="B60" s="15" t="n"/>
      <c r="C60" s="16" t="n"/>
      <c r="D60" s="14">
        <f>IF(C60="","",IFERROR(VLOOKUP(C60,マスター!A:B,2,0),""))</f>
        <v/>
      </c>
      <c r="E60" s="14">
        <f>IF(C60="","",IFERROR(VLOOKUP(C60,マスター!A:C,3,0),""))</f>
        <v/>
      </c>
      <c r="F60" s="16" t="n"/>
      <c r="G60" s="17" t="n"/>
      <c r="H60" s="17">
        <f>IF(G60="","",G60*0.1)</f>
        <v/>
      </c>
      <c r="I60" s="17">
        <f>IF(G60="","",G60+H60)</f>
        <v/>
      </c>
      <c r="J60" s="15" t="n"/>
      <c r="K60" s="15">
        <f>IF(J60="","",EOMONTH(J60,1))</f>
        <v/>
      </c>
      <c r="L60" s="15" t="n"/>
      <c r="M60" s="17" t="n"/>
      <c r="N60" s="14">
        <f>IF(C60="","",IF(L60&lt;&gt;"","支払済","未払"))</f>
        <v/>
      </c>
    </row>
    <row r="61">
      <c r="A61" s="18">
        <f>IF(C61&lt;&gt;"",ROW()-1,"")</f>
        <v/>
      </c>
      <c r="B61" s="19" t="n"/>
      <c r="C61" s="20" t="n"/>
      <c r="D61" s="18">
        <f>IF(C61="","",IFERROR(VLOOKUP(C61,マスター!A:B,2,0),""))</f>
        <v/>
      </c>
      <c r="E61" s="18">
        <f>IF(C61="","",IFERROR(VLOOKUP(C61,マスター!A:C,3,0),""))</f>
        <v/>
      </c>
      <c r="F61" s="20" t="n"/>
      <c r="G61" s="21" t="n"/>
      <c r="H61" s="21">
        <f>IF(G61="","",G61*0.1)</f>
        <v/>
      </c>
      <c r="I61" s="21">
        <f>IF(G61="","",G61+H61)</f>
        <v/>
      </c>
      <c r="J61" s="19" t="n"/>
      <c r="K61" s="19">
        <f>IF(J61="","",EOMONTH(J61,1))</f>
        <v/>
      </c>
      <c r="L61" s="19" t="n"/>
      <c r="M61" s="21" t="n"/>
      <c r="N61" s="18">
        <f>IF(C61="","",IF(L61&lt;&gt;"","支払済","未払"))</f>
        <v/>
      </c>
    </row>
    <row r="62">
      <c r="A62" s="14">
        <f>IF(C62&lt;&gt;"",ROW()-1,"")</f>
        <v/>
      </c>
      <c r="B62" s="15" t="n"/>
      <c r="C62" s="16" t="n"/>
      <c r="D62" s="14">
        <f>IF(C62="","",IFERROR(VLOOKUP(C62,マスター!A:B,2,0),""))</f>
        <v/>
      </c>
      <c r="E62" s="14">
        <f>IF(C62="","",IFERROR(VLOOKUP(C62,マスター!A:C,3,0),""))</f>
        <v/>
      </c>
      <c r="F62" s="16" t="n"/>
      <c r="G62" s="17" t="n"/>
      <c r="H62" s="17">
        <f>IF(G62="","",G62*0.1)</f>
        <v/>
      </c>
      <c r="I62" s="17">
        <f>IF(G62="","",G62+H62)</f>
        <v/>
      </c>
      <c r="J62" s="15" t="n"/>
      <c r="K62" s="15">
        <f>IF(J62="","",EOMONTH(J62,1))</f>
        <v/>
      </c>
      <c r="L62" s="15" t="n"/>
      <c r="M62" s="17" t="n"/>
      <c r="N62" s="14">
        <f>IF(C62="","",IF(L62&lt;&gt;"","支払済","未払"))</f>
        <v/>
      </c>
    </row>
    <row r="63">
      <c r="A63" s="18">
        <f>IF(C63&lt;&gt;"",ROW()-1,"")</f>
        <v/>
      </c>
      <c r="B63" s="19" t="n"/>
      <c r="C63" s="20" t="n"/>
      <c r="D63" s="18">
        <f>IF(C63="","",IFERROR(VLOOKUP(C63,マスター!A:B,2,0),""))</f>
        <v/>
      </c>
      <c r="E63" s="18">
        <f>IF(C63="","",IFERROR(VLOOKUP(C63,マスター!A:C,3,0),""))</f>
        <v/>
      </c>
      <c r="F63" s="20" t="n"/>
      <c r="G63" s="21" t="n"/>
      <c r="H63" s="21">
        <f>IF(G63="","",G63*0.1)</f>
        <v/>
      </c>
      <c r="I63" s="21">
        <f>IF(G63="","",G63+H63)</f>
        <v/>
      </c>
      <c r="J63" s="19" t="n"/>
      <c r="K63" s="19">
        <f>IF(J63="","",EOMONTH(J63,1))</f>
        <v/>
      </c>
      <c r="L63" s="19" t="n"/>
      <c r="M63" s="21" t="n"/>
      <c r="N63" s="18">
        <f>IF(C63="","",IF(L63&lt;&gt;"","支払済","未払"))</f>
        <v/>
      </c>
    </row>
    <row r="64">
      <c r="A64" s="14">
        <f>IF(C64&lt;&gt;"",ROW()-1,"")</f>
        <v/>
      </c>
      <c r="B64" s="15" t="n"/>
      <c r="C64" s="16" t="n"/>
      <c r="D64" s="14">
        <f>IF(C64="","",IFERROR(VLOOKUP(C64,マスター!A:B,2,0),""))</f>
        <v/>
      </c>
      <c r="E64" s="14">
        <f>IF(C64="","",IFERROR(VLOOKUP(C64,マスター!A:C,3,0),""))</f>
        <v/>
      </c>
      <c r="F64" s="16" t="n"/>
      <c r="G64" s="17" t="n"/>
      <c r="H64" s="17">
        <f>IF(G64="","",G64*0.1)</f>
        <v/>
      </c>
      <c r="I64" s="17">
        <f>IF(G64="","",G64+H64)</f>
        <v/>
      </c>
      <c r="J64" s="15" t="n"/>
      <c r="K64" s="15">
        <f>IF(J64="","",EOMONTH(J64,1))</f>
        <v/>
      </c>
      <c r="L64" s="15" t="n"/>
      <c r="M64" s="17" t="n"/>
      <c r="N64" s="14">
        <f>IF(C64="","",IF(L64&lt;&gt;"","支払済","未払"))</f>
        <v/>
      </c>
    </row>
    <row r="65">
      <c r="A65" s="18">
        <f>IF(C65&lt;&gt;"",ROW()-1,"")</f>
        <v/>
      </c>
      <c r="B65" s="19" t="n"/>
      <c r="C65" s="20" t="n"/>
      <c r="D65" s="18">
        <f>IF(C65="","",IFERROR(VLOOKUP(C65,マスター!A:B,2,0),""))</f>
        <v/>
      </c>
      <c r="E65" s="18">
        <f>IF(C65="","",IFERROR(VLOOKUP(C65,マスター!A:C,3,0),""))</f>
        <v/>
      </c>
      <c r="F65" s="20" t="n"/>
      <c r="G65" s="21" t="n"/>
      <c r="H65" s="21">
        <f>IF(G65="","",G65*0.1)</f>
        <v/>
      </c>
      <c r="I65" s="21">
        <f>IF(G65="","",G65+H65)</f>
        <v/>
      </c>
      <c r="J65" s="19" t="n"/>
      <c r="K65" s="19">
        <f>IF(J65="","",EOMONTH(J65,1))</f>
        <v/>
      </c>
      <c r="L65" s="19" t="n"/>
      <c r="M65" s="21" t="n"/>
      <c r="N65" s="18">
        <f>IF(C65="","",IF(L65&lt;&gt;"","支払済","未払"))</f>
        <v/>
      </c>
    </row>
    <row r="66">
      <c r="A66" s="14">
        <f>IF(C66&lt;&gt;"",ROW()-1,"")</f>
        <v/>
      </c>
      <c r="B66" s="15" t="n"/>
      <c r="C66" s="16" t="n"/>
      <c r="D66" s="14">
        <f>IF(C66="","",IFERROR(VLOOKUP(C66,マスター!A:B,2,0),""))</f>
        <v/>
      </c>
      <c r="E66" s="14">
        <f>IF(C66="","",IFERROR(VLOOKUP(C66,マスター!A:C,3,0),""))</f>
        <v/>
      </c>
      <c r="F66" s="16" t="n"/>
      <c r="G66" s="17" t="n"/>
      <c r="H66" s="17">
        <f>IF(G66="","",G66*0.1)</f>
        <v/>
      </c>
      <c r="I66" s="17">
        <f>IF(G66="","",G66+H66)</f>
        <v/>
      </c>
      <c r="J66" s="15" t="n"/>
      <c r="K66" s="15">
        <f>IF(J66="","",EOMONTH(J66,1))</f>
        <v/>
      </c>
      <c r="L66" s="15" t="n"/>
      <c r="M66" s="17" t="n"/>
      <c r="N66" s="14">
        <f>IF(C66="","",IF(L66&lt;&gt;"","支払済","未払"))</f>
        <v/>
      </c>
    </row>
    <row r="67">
      <c r="A67" s="18">
        <f>IF(C67&lt;&gt;"",ROW()-1,"")</f>
        <v/>
      </c>
      <c r="B67" s="19" t="n"/>
      <c r="C67" s="20" t="n"/>
      <c r="D67" s="18">
        <f>IF(C67="","",IFERROR(VLOOKUP(C67,マスター!A:B,2,0),""))</f>
        <v/>
      </c>
      <c r="E67" s="18">
        <f>IF(C67="","",IFERROR(VLOOKUP(C67,マスター!A:C,3,0),""))</f>
        <v/>
      </c>
      <c r="F67" s="20" t="n"/>
      <c r="G67" s="21" t="n"/>
      <c r="H67" s="21">
        <f>IF(G67="","",G67*0.1)</f>
        <v/>
      </c>
      <c r="I67" s="21">
        <f>IF(G67="","",G67+H67)</f>
        <v/>
      </c>
      <c r="J67" s="19" t="n"/>
      <c r="K67" s="19">
        <f>IF(J67="","",EOMONTH(J67,1))</f>
        <v/>
      </c>
      <c r="L67" s="19" t="n"/>
      <c r="M67" s="21" t="n"/>
      <c r="N67" s="18">
        <f>IF(C67="","",IF(L67&lt;&gt;"","支払済","未払"))</f>
        <v/>
      </c>
    </row>
    <row r="68">
      <c r="A68" s="14">
        <f>IF(C68&lt;&gt;"",ROW()-1,"")</f>
        <v/>
      </c>
      <c r="B68" s="15" t="n"/>
      <c r="C68" s="16" t="n"/>
      <c r="D68" s="14">
        <f>IF(C68="","",IFERROR(VLOOKUP(C68,マスター!A:B,2,0),""))</f>
        <v/>
      </c>
      <c r="E68" s="14">
        <f>IF(C68="","",IFERROR(VLOOKUP(C68,マスター!A:C,3,0),""))</f>
        <v/>
      </c>
      <c r="F68" s="16" t="n"/>
      <c r="G68" s="17" t="n"/>
      <c r="H68" s="17">
        <f>IF(G68="","",G68*0.1)</f>
        <v/>
      </c>
      <c r="I68" s="17">
        <f>IF(G68="","",G68+H68)</f>
        <v/>
      </c>
      <c r="J68" s="15" t="n"/>
      <c r="K68" s="15">
        <f>IF(J68="","",EOMONTH(J68,1))</f>
        <v/>
      </c>
      <c r="L68" s="15" t="n"/>
      <c r="M68" s="17" t="n"/>
      <c r="N68" s="14">
        <f>IF(C68="","",IF(L68&lt;&gt;"","支払済","未払"))</f>
        <v/>
      </c>
    </row>
    <row r="69">
      <c r="A69" s="18">
        <f>IF(C69&lt;&gt;"",ROW()-1,"")</f>
        <v/>
      </c>
      <c r="B69" s="19" t="n"/>
      <c r="C69" s="20" t="n"/>
      <c r="D69" s="18">
        <f>IF(C69="","",IFERROR(VLOOKUP(C69,マスター!A:B,2,0),""))</f>
        <v/>
      </c>
      <c r="E69" s="18">
        <f>IF(C69="","",IFERROR(VLOOKUP(C69,マスター!A:C,3,0),""))</f>
        <v/>
      </c>
      <c r="F69" s="20" t="n"/>
      <c r="G69" s="21" t="n"/>
      <c r="H69" s="21">
        <f>IF(G69="","",G69*0.1)</f>
        <v/>
      </c>
      <c r="I69" s="21">
        <f>IF(G69="","",G69+H69)</f>
        <v/>
      </c>
      <c r="J69" s="19" t="n"/>
      <c r="K69" s="19">
        <f>IF(J69="","",EOMONTH(J69,1))</f>
        <v/>
      </c>
      <c r="L69" s="19" t="n"/>
      <c r="M69" s="21" t="n"/>
      <c r="N69" s="18">
        <f>IF(C69="","",IF(L69&lt;&gt;"","支払済","未払"))</f>
        <v/>
      </c>
    </row>
    <row r="70">
      <c r="A70" s="14">
        <f>IF(C70&lt;&gt;"",ROW()-1,"")</f>
        <v/>
      </c>
      <c r="B70" s="15" t="n"/>
      <c r="C70" s="16" t="n"/>
      <c r="D70" s="14">
        <f>IF(C70="","",IFERROR(VLOOKUP(C70,マスター!A:B,2,0),""))</f>
        <v/>
      </c>
      <c r="E70" s="14">
        <f>IF(C70="","",IFERROR(VLOOKUP(C70,マスター!A:C,3,0),""))</f>
        <v/>
      </c>
      <c r="F70" s="16" t="n"/>
      <c r="G70" s="17" t="n"/>
      <c r="H70" s="17">
        <f>IF(G70="","",G70*0.1)</f>
        <v/>
      </c>
      <c r="I70" s="17">
        <f>IF(G70="","",G70+H70)</f>
        <v/>
      </c>
      <c r="J70" s="15" t="n"/>
      <c r="K70" s="15">
        <f>IF(J70="","",EOMONTH(J70,1))</f>
        <v/>
      </c>
      <c r="L70" s="15" t="n"/>
      <c r="M70" s="17" t="n"/>
      <c r="N70" s="14">
        <f>IF(C70="","",IF(L70&lt;&gt;"","支払済","未払"))</f>
        <v/>
      </c>
    </row>
    <row r="71">
      <c r="A71" s="18">
        <f>IF(C71&lt;&gt;"",ROW()-1,"")</f>
        <v/>
      </c>
      <c r="B71" s="19" t="n"/>
      <c r="C71" s="20" t="n"/>
      <c r="D71" s="18">
        <f>IF(C71="","",IFERROR(VLOOKUP(C71,マスター!A:B,2,0),""))</f>
        <v/>
      </c>
      <c r="E71" s="18">
        <f>IF(C71="","",IFERROR(VLOOKUP(C71,マスター!A:C,3,0),""))</f>
        <v/>
      </c>
      <c r="F71" s="20" t="n"/>
      <c r="G71" s="21" t="n"/>
      <c r="H71" s="21">
        <f>IF(G71="","",G71*0.1)</f>
        <v/>
      </c>
      <c r="I71" s="21">
        <f>IF(G71="","",G71+H71)</f>
        <v/>
      </c>
      <c r="J71" s="19" t="n"/>
      <c r="K71" s="19">
        <f>IF(J71="","",EOMONTH(J71,1))</f>
        <v/>
      </c>
      <c r="L71" s="19" t="n"/>
      <c r="M71" s="21" t="n"/>
      <c r="N71" s="18">
        <f>IF(C71="","",IF(L71&lt;&gt;"","支払済","未払"))</f>
        <v/>
      </c>
    </row>
    <row r="72">
      <c r="A72" s="14">
        <f>IF(C72&lt;&gt;"",ROW()-1,"")</f>
        <v/>
      </c>
      <c r="B72" s="15" t="n"/>
      <c r="C72" s="16" t="n"/>
      <c r="D72" s="14">
        <f>IF(C72="","",IFERROR(VLOOKUP(C72,マスター!A:B,2,0),""))</f>
        <v/>
      </c>
      <c r="E72" s="14">
        <f>IF(C72="","",IFERROR(VLOOKUP(C72,マスター!A:C,3,0),""))</f>
        <v/>
      </c>
      <c r="F72" s="16" t="n"/>
      <c r="G72" s="17" t="n"/>
      <c r="H72" s="17">
        <f>IF(G72="","",G72*0.1)</f>
        <v/>
      </c>
      <c r="I72" s="17">
        <f>IF(G72="","",G72+H72)</f>
        <v/>
      </c>
      <c r="J72" s="15" t="n"/>
      <c r="K72" s="15">
        <f>IF(J72="","",EOMONTH(J72,1))</f>
        <v/>
      </c>
      <c r="L72" s="15" t="n"/>
      <c r="M72" s="17" t="n"/>
      <c r="N72" s="14">
        <f>IF(C72="","",IF(L72&lt;&gt;"","支払済","未払"))</f>
        <v/>
      </c>
    </row>
    <row r="73">
      <c r="A73" s="18">
        <f>IF(C73&lt;&gt;"",ROW()-1,"")</f>
        <v/>
      </c>
      <c r="B73" s="19" t="n"/>
      <c r="C73" s="20" t="n"/>
      <c r="D73" s="18">
        <f>IF(C73="","",IFERROR(VLOOKUP(C73,マスター!A:B,2,0),""))</f>
        <v/>
      </c>
      <c r="E73" s="18">
        <f>IF(C73="","",IFERROR(VLOOKUP(C73,マスター!A:C,3,0),""))</f>
        <v/>
      </c>
      <c r="F73" s="20" t="n"/>
      <c r="G73" s="21" t="n"/>
      <c r="H73" s="21">
        <f>IF(G73="","",G73*0.1)</f>
        <v/>
      </c>
      <c r="I73" s="21">
        <f>IF(G73="","",G73+H73)</f>
        <v/>
      </c>
      <c r="J73" s="19" t="n"/>
      <c r="K73" s="19">
        <f>IF(J73="","",EOMONTH(J73,1))</f>
        <v/>
      </c>
      <c r="L73" s="19" t="n"/>
      <c r="M73" s="21" t="n"/>
      <c r="N73" s="18">
        <f>IF(C73="","",IF(L73&lt;&gt;"","支払済","未払"))</f>
        <v/>
      </c>
    </row>
    <row r="74">
      <c r="A74" s="14">
        <f>IF(C74&lt;&gt;"",ROW()-1,"")</f>
        <v/>
      </c>
      <c r="B74" s="15" t="n"/>
      <c r="C74" s="16" t="n"/>
      <c r="D74" s="14">
        <f>IF(C74="","",IFERROR(VLOOKUP(C74,マスター!A:B,2,0),""))</f>
        <v/>
      </c>
      <c r="E74" s="14">
        <f>IF(C74="","",IFERROR(VLOOKUP(C74,マスター!A:C,3,0),""))</f>
        <v/>
      </c>
      <c r="F74" s="16" t="n"/>
      <c r="G74" s="17" t="n"/>
      <c r="H74" s="17">
        <f>IF(G74="","",G74*0.1)</f>
        <v/>
      </c>
      <c r="I74" s="17">
        <f>IF(G74="","",G74+H74)</f>
        <v/>
      </c>
      <c r="J74" s="15" t="n"/>
      <c r="K74" s="15">
        <f>IF(J74="","",EOMONTH(J74,1))</f>
        <v/>
      </c>
      <c r="L74" s="15" t="n"/>
      <c r="M74" s="17" t="n"/>
      <c r="N74" s="14">
        <f>IF(C74="","",IF(L74&lt;&gt;"","支払済","未払"))</f>
        <v/>
      </c>
    </row>
    <row r="75">
      <c r="A75" s="18">
        <f>IF(C75&lt;&gt;"",ROW()-1,"")</f>
        <v/>
      </c>
      <c r="B75" s="19" t="n"/>
      <c r="C75" s="20" t="n"/>
      <c r="D75" s="18">
        <f>IF(C75="","",IFERROR(VLOOKUP(C75,マスター!A:B,2,0),""))</f>
        <v/>
      </c>
      <c r="E75" s="18">
        <f>IF(C75="","",IFERROR(VLOOKUP(C75,マスター!A:C,3,0),""))</f>
        <v/>
      </c>
      <c r="F75" s="20" t="n"/>
      <c r="G75" s="21" t="n"/>
      <c r="H75" s="21">
        <f>IF(G75="","",G75*0.1)</f>
        <v/>
      </c>
      <c r="I75" s="21">
        <f>IF(G75="","",G75+H75)</f>
        <v/>
      </c>
      <c r="J75" s="19" t="n"/>
      <c r="K75" s="19">
        <f>IF(J75="","",EOMONTH(J75,1))</f>
        <v/>
      </c>
      <c r="L75" s="19" t="n"/>
      <c r="M75" s="21" t="n"/>
      <c r="N75" s="18">
        <f>IF(C75="","",IF(L75&lt;&gt;"","支払済","未払"))</f>
        <v/>
      </c>
    </row>
    <row r="76">
      <c r="A76" s="14">
        <f>IF(C76&lt;&gt;"",ROW()-1,"")</f>
        <v/>
      </c>
      <c r="B76" s="15" t="n"/>
      <c r="C76" s="16" t="n"/>
      <c r="D76" s="14">
        <f>IF(C76="","",IFERROR(VLOOKUP(C76,マスター!A:B,2,0),""))</f>
        <v/>
      </c>
      <c r="E76" s="14">
        <f>IF(C76="","",IFERROR(VLOOKUP(C76,マスター!A:C,3,0),""))</f>
        <v/>
      </c>
      <c r="F76" s="16" t="n"/>
      <c r="G76" s="17" t="n"/>
      <c r="H76" s="17">
        <f>IF(G76="","",G76*0.1)</f>
        <v/>
      </c>
      <c r="I76" s="17">
        <f>IF(G76="","",G76+H76)</f>
        <v/>
      </c>
      <c r="J76" s="15" t="n"/>
      <c r="K76" s="15">
        <f>IF(J76="","",EOMONTH(J76,1))</f>
        <v/>
      </c>
      <c r="L76" s="15" t="n"/>
      <c r="M76" s="17" t="n"/>
      <c r="N76" s="14">
        <f>IF(C76="","",IF(L76&lt;&gt;"","支払済","未払"))</f>
        <v/>
      </c>
    </row>
    <row r="77">
      <c r="A77" s="18">
        <f>IF(C77&lt;&gt;"",ROW()-1,"")</f>
        <v/>
      </c>
      <c r="B77" s="19" t="n"/>
      <c r="C77" s="20" t="n"/>
      <c r="D77" s="18">
        <f>IF(C77="","",IFERROR(VLOOKUP(C77,マスター!A:B,2,0),""))</f>
        <v/>
      </c>
      <c r="E77" s="18">
        <f>IF(C77="","",IFERROR(VLOOKUP(C77,マスター!A:C,3,0),""))</f>
        <v/>
      </c>
      <c r="F77" s="20" t="n"/>
      <c r="G77" s="21" t="n"/>
      <c r="H77" s="21">
        <f>IF(G77="","",G77*0.1)</f>
        <v/>
      </c>
      <c r="I77" s="21">
        <f>IF(G77="","",G77+H77)</f>
        <v/>
      </c>
      <c r="J77" s="19" t="n"/>
      <c r="K77" s="19">
        <f>IF(J77="","",EOMONTH(J77,1))</f>
        <v/>
      </c>
      <c r="L77" s="19" t="n"/>
      <c r="M77" s="21" t="n"/>
      <c r="N77" s="18">
        <f>IF(C77="","",IF(L77&lt;&gt;"","支払済","未払"))</f>
        <v/>
      </c>
    </row>
    <row r="78">
      <c r="A78" s="14">
        <f>IF(C78&lt;&gt;"",ROW()-1,"")</f>
        <v/>
      </c>
      <c r="B78" s="15" t="n"/>
      <c r="C78" s="16" t="n"/>
      <c r="D78" s="14">
        <f>IF(C78="","",IFERROR(VLOOKUP(C78,マスター!A:B,2,0),""))</f>
        <v/>
      </c>
      <c r="E78" s="14">
        <f>IF(C78="","",IFERROR(VLOOKUP(C78,マスター!A:C,3,0),""))</f>
        <v/>
      </c>
      <c r="F78" s="16" t="n"/>
      <c r="G78" s="17" t="n"/>
      <c r="H78" s="17">
        <f>IF(G78="","",G78*0.1)</f>
        <v/>
      </c>
      <c r="I78" s="17">
        <f>IF(G78="","",G78+H78)</f>
        <v/>
      </c>
      <c r="J78" s="15" t="n"/>
      <c r="K78" s="15">
        <f>IF(J78="","",EOMONTH(J78,1))</f>
        <v/>
      </c>
      <c r="L78" s="15" t="n"/>
      <c r="M78" s="17" t="n"/>
      <c r="N78" s="14">
        <f>IF(C78="","",IF(L78&lt;&gt;"","支払済","未払"))</f>
        <v/>
      </c>
    </row>
    <row r="79">
      <c r="A79" s="18">
        <f>IF(C79&lt;&gt;"",ROW()-1,"")</f>
        <v/>
      </c>
      <c r="B79" s="19" t="n"/>
      <c r="C79" s="20" t="n"/>
      <c r="D79" s="18">
        <f>IF(C79="","",IFERROR(VLOOKUP(C79,マスター!A:B,2,0),""))</f>
        <v/>
      </c>
      <c r="E79" s="18">
        <f>IF(C79="","",IFERROR(VLOOKUP(C79,マスター!A:C,3,0),""))</f>
        <v/>
      </c>
      <c r="F79" s="20" t="n"/>
      <c r="G79" s="21" t="n"/>
      <c r="H79" s="21">
        <f>IF(G79="","",G79*0.1)</f>
        <v/>
      </c>
      <c r="I79" s="21">
        <f>IF(G79="","",G79+H79)</f>
        <v/>
      </c>
      <c r="J79" s="19" t="n"/>
      <c r="K79" s="19">
        <f>IF(J79="","",EOMONTH(J79,1))</f>
        <v/>
      </c>
      <c r="L79" s="19" t="n"/>
      <c r="M79" s="21" t="n"/>
      <c r="N79" s="18">
        <f>IF(C79="","",IF(L79&lt;&gt;"","支払済","未払"))</f>
        <v/>
      </c>
    </row>
    <row r="80">
      <c r="A80" s="14">
        <f>IF(C80&lt;&gt;"",ROW()-1,"")</f>
        <v/>
      </c>
      <c r="B80" s="15" t="n"/>
      <c r="C80" s="16" t="n"/>
      <c r="D80" s="14">
        <f>IF(C80="","",IFERROR(VLOOKUP(C80,マスター!A:B,2,0),""))</f>
        <v/>
      </c>
      <c r="E80" s="14">
        <f>IF(C80="","",IFERROR(VLOOKUP(C80,マスター!A:C,3,0),""))</f>
        <v/>
      </c>
      <c r="F80" s="16" t="n"/>
      <c r="G80" s="17" t="n"/>
      <c r="H80" s="17">
        <f>IF(G80="","",G80*0.1)</f>
        <v/>
      </c>
      <c r="I80" s="17">
        <f>IF(G80="","",G80+H80)</f>
        <v/>
      </c>
      <c r="J80" s="15" t="n"/>
      <c r="K80" s="15">
        <f>IF(J80="","",EOMONTH(J80,1))</f>
        <v/>
      </c>
      <c r="L80" s="15" t="n"/>
      <c r="M80" s="17" t="n"/>
      <c r="N80" s="14">
        <f>IF(C80="","",IF(L80&lt;&gt;"","支払済","未払"))</f>
        <v/>
      </c>
    </row>
    <row r="81">
      <c r="A81" s="18">
        <f>IF(C81&lt;&gt;"",ROW()-1,"")</f>
        <v/>
      </c>
      <c r="B81" s="19" t="n"/>
      <c r="C81" s="20" t="n"/>
      <c r="D81" s="18">
        <f>IF(C81="","",IFERROR(VLOOKUP(C81,マスター!A:B,2,0),""))</f>
        <v/>
      </c>
      <c r="E81" s="18">
        <f>IF(C81="","",IFERROR(VLOOKUP(C81,マスター!A:C,3,0),""))</f>
        <v/>
      </c>
      <c r="F81" s="20" t="n"/>
      <c r="G81" s="21" t="n"/>
      <c r="H81" s="21">
        <f>IF(G81="","",G81*0.1)</f>
        <v/>
      </c>
      <c r="I81" s="21">
        <f>IF(G81="","",G81+H81)</f>
        <v/>
      </c>
      <c r="J81" s="19" t="n"/>
      <c r="K81" s="19">
        <f>IF(J81="","",EOMONTH(J81,1))</f>
        <v/>
      </c>
      <c r="L81" s="19" t="n"/>
      <c r="M81" s="21" t="n"/>
      <c r="N81" s="18">
        <f>IF(C81="","",IF(L81&lt;&gt;"","支払済","未払"))</f>
        <v/>
      </c>
    </row>
    <row r="82">
      <c r="A82" s="14">
        <f>IF(C82&lt;&gt;"",ROW()-1,"")</f>
        <v/>
      </c>
      <c r="B82" s="15" t="n"/>
      <c r="C82" s="16" t="n"/>
      <c r="D82" s="14">
        <f>IF(C82="","",IFERROR(VLOOKUP(C82,マスター!A:B,2,0),""))</f>
        <v/>
      </c>
      <c r="E82" s="14">
        <f>IF(C82="","",IFERROR(VLOOKUP(C82,マスター!A:C,3,0),""))</f>
        <v/>
      </c>
      <c r="F82" s="16" t="n"/>
      <c r="G82" s="17" t="n"/>
      <c r="H82" s="17">
        <f>IF(G82="","",G82*0.1)</f>
        <v/>
      </c>
      <c r="I82" s="17">
        <f>IF(G82="","",G82+H82)</f>
        <v/>
      </c>
      <c r="J82" s="15" t="n"/>
      <c r="K82" s="15">
        <f>IF(J82="","",EOMONTH(J82,1))</f>
        <v/>
      </c>
      <c r="L82" s="15" t="n"/>
      <c r="M82" s="17" t="n"/>
      <c r="N82" s="14">
        <f>IF(C82="","",IF(L82&lt;&gt;"","支払済","未払"))</f>
        <v/>
      </c>
    </row>
    <row r="83">
      <c r="A83" s="18">
        <f>IF(C83&lt;&gt;"",ROW()-1,"")</f>
        <v/>
      </c>
      <c r="B83" s="19" t="n"/>
      <c r="C83" s="20" t="n"/>
      <c r="D83" s="18">
        <f>IF(C83="","",IFERROR(VLOOKUP(C83,マスター!A:B,2,0),""))</f>
        <v/>
      </c>
      <c r="E83" s="18">
        <f>IF(C83="","",IFERROR(VLOOKUP(C83,マスター!A:C,3,0),""))</f>
        <v/>
      </c>
      <c r="F83" s="20" t="n"/>
      <c r="G83" s="21" t="n"/>
      <c r="H83" s="21">
        <f>IF(G83="","",G83*0.1)</f>
        <v/>
      </c>
      <c r="I83" s="21">
        <f>IF(G83="","",G83+H83)</f>
        <v/>
      </c>
      <c r="J83" s="19" t="n"/>
      <c r="K83" s="19">
        <f>IF(J83="","",EOMONTH(J83,1))</f>
        <v/>
      </c>
      <c r="L83" s="19" t="n"/>
      <c r="M83" s="21" t="n"/>
      <c r="N83" s="18">
        <f>IF(C83="","",IF(L83&lt;&gt;"","支払済","未払"))</f>
        <v/>
      </c>
    </row>
    <row r="84">
      <c r="A84" s="14">
        <f>IF(C84&lt;&gt;"",ROW()-1,"")</f>
        <v/>
      </c>
      <c r="B84" s="15" t="n"/>
      <c r="C84" s="16" t="n"/>
      <c r="D84" s="14">
        <f>IF(C84="","",IFERROR(VLOOKUP(C84,マスター!A:B,2,0),""))</f>
        <v/>
      </c>
      <c r="E84" s="14">
        <f>IF(C84="","",IFERROR(VLOOKUP(C84,マスター!A:C,3,0),""))</f>
        <v/>
      </c>
      <c r="F84" s="16" t="n"/>
      <c r="G84" s="17" t="n"/>
      <c r="H84" s="17">
        <f>IF(G84="","",G84*0.1)</f>
        <v/>
      </c>
      <c r="I84" s="17">
        <f>IF(G84="","",G84+H84)</f>
        <v/>
      </c>
      <c r="J84" s="15" t="n"/>
      <c r="K84" s="15">
        <f>IF(J84="","",EOMONTH(J84,1))</f>
        <v/>
      </c>
      <c r="L84" s="15" t="n"/>
      <c r="M84" s="17" t="n"/>
      <c r="N84" s="14">
        <f>IF(C84="","",IF(L84&lt;&gt;"","支払済","未払"))</f>
        <v/>
      </c>
    </row>
    <row r="85">
      <c r="A85" s="18">
        <f>IF(C85&lt;&gt;"",ROW()-1,"")</f>
        <v/>
      </c>
      <c r="B85" s="19" t="n"/>
      <c r="C85" s="20" t="n"/>
      <c r="D85" s="18">
        <f>IF(C85="","",IFERROR(VLOOKUP(C85,マスター!A:B,2,0),""))</f>
        <v/>
      </c>
      <c r="E85" s="18">
        <f>IF(C85="","",IFERROR(VLOOKUP(C85,マスター!A:C,3,0),""))</f>
        <v/>
      </c>
      <c r="F85" s="20" t="n"/>
      <c r="G85" s="21" t="n"/>
      <c r="H85" s="21">
        <f>IF(G85="","",G85*0.1)</f>
        <v/>
      </c>
      <c r="I85" s="21">
        <f>IF(G85="","",G85+H85)</f>
        <v/>
      </c>
      <c r="J85" s="19" t="n"/>
      <c r="K85" s="19">
        <f>IF(J85="","",EOMONTH(J85,1))</f>
        <v/>
      </c>
      <c r="L85" s="19" t="n"/>
      <c r="M85" s="21" t="n"/>
      <c r="N85" s="18">
        <f>IF(C85="","",IF(L85&lt;&gt;"","支払済","未払"))</f>
        <v/>
      </c>
    </row>
    <row r="86">
      <c r="A86" s="14">
        <f>IF(C86&lt;&gt;"",ROW()-1,"")</f>
        <v/>
      </c>
      <c r="B86" s="15" t="n"/>
      <c r="C86" s="16" t="n"/>
      <c r="D86" s="14">
        <f>IF(C86="","",IFERROR(VLOOKUP(C86,マスター!A:B,2,0),""))</f>
        <v/>
      </c>
      <c r="E86" s="14">
        <f>IF(C86="","",IFERROR(VLOOKUP(C86,マスター!A:C,3,0),""))</f>
        <v/>
      </c>
      <c r="F86" s="16" t="n"/>
      <c r="G86" s="17" t="n"/>
      <c r="H86" s="17">
        <f>IF(G86="","",G86*0.1)</f>
        <v/>
      </c>
      <c r="I86" s="17">
        <f>IF(G86="","",G86+H86)</f>
        <v/>
      </c>
      <c r="J86" s="15" t="n"/>
      <c r="K86" s="15">
        <f>IF(J86="","",EOMONTH(J86,1))</f>
        <v/>
      </c>
      <c r="L86" s="15" t="n"/>
      <c r="M86" s="17" t="n"/>
      <c r="N86" s="14">
        <f>IF(C86="","",IF(L86&lt;&gt;"","支払済","未払"))</f>
        <v/>
      </c>
    </row>
    <row r="87">
      <c r="A87" s="18">
        <f>IF(C87&lt;&gt;"",ROW()-1,"")</f>
        <v/>
      </c>
      <c r="B87" s="19" t="n"/>
      <c r="C87" s="20" t="n"/>
      <c r="D87" s="18">
        <f>IF(C87="","",IFERROR(VLOOKUP(C87,マスター!A:B,2,0),""))</f>
        <v/>
      </c>
      <c r="E87" s="18">
        <f>IF(C87="","",IFERROR(VLOOKUP(C87,マスター!A:C,3,0),""))</f>
        <v/>
      </c>
      <c r="F87" s="20" t="n"/>
      <c r="G87" s="21" t="n"/>
      <c r="H87" s="21">
        <f>IF(G87="","",G87*0.1)</f>
        <v/>
      </c>
      <c r="I87" s="21">
        <f>IF(G87="","",G87+H87)</f>
        <v/>
      </c>
      <c r="J87" s="19" t="n"/>
      <c r="K87" s="19">
        <f>IF(J87="","",EOMONTH(J87,1))</f>
        <v/>
      </c>
      <c r="L87" s="19" t="n"/>
      <c r="M87" s="21" t="n"/>
      <c r="N87" s="18">
        <f>IF(C87="","",IF(L87&lt;&gt;"","支払済","未払"))</f>
        <v/>
      </c>
    </row>
    <row r="88">
      <c r="A88" s="14">
        <f>IF(C88&lt;&gt;"",ROW()-1,"")</f>
        <v/>
      </c>
      <c r="B88" s="15" t="n"/>
      <c r="C88" s="16" t="n"/>
      <c r="D88" s="14">
        <f>IF(C88="","",IFERROR(VLOOKUP(C88,マスター!A:B,2,0),""))</f>
        <v/>
      </c>
      <c r="E88" s="14">
        <f>IF(C88="","",IFERROR(VLOOKUP(C88,マスター!A:C,3,0),""))</f>
        <v/>
      </c>
      <c r="F88" s="16" t="n"/>
      <c r="G88" s="17" t="n"/>
      <c r="H88" s="17">
        <f>IF(G88="","",G88*0.1)</f>
        <v/>
      </c>
      <c r="I88" s="17">
        <f>IF(G88="","",G88+H88)</f>
        <v/>
      </c>
      <c r="J88" s="15" t="n"/>
      <c r="K88" s="15">
        <f>IF(J88="","",EOMONTH(J88,1))</f>
        <v/>
      </c>
      <c r="L88" s="15" t="n"/>
      <c r="M88" s="17" t="n"/>
      <c r="N88" s="14">
        <f>IF(C88="","",IF(L88&lt;&gt;"","支払済","未払"))</f>
        <v/>
      </c>
    </row>
    <row r="89">
      <c r="A89" s="18">
        <f>IF(C89&lt;&gt;"",ROW()-1,"")</f>
        <v/>
      </c>
      <c r="B89" s="19" t="n"/>
      <c r="C89" s="20" t="n"/>
      <c r="D89" s="18">
        <f>IF(C89="","",IFERROR(VLOOKUP(C89,マスター!A:B,2,0),""))</f>
        <v/>
      </c>
      <c r="E89" s="18">
        <f>IF(C89="","",IFERROR(VLOOKUP(C89,マスター!A:C,3,0),""))</f>
        <v/>
      </c>
      <c r="F89" s="20" t="n"/>
      <c r="G89" s="21" t="n"/>
      <c r="H89" s="21">
        <f>IF(G89="","",G89*0.1)</f>
        <v/>
      </c>
      <c r="I89" s="21">
        <f>IF(G89="","",G89+H89)</f>
        <v/>
      </c>
      <c r="J89" s="19" t="n"/>
      <c r="K89" s="19">
        <f>IF(J89="","",EOMONTH(J89,1))</f>
        <v/>
      </c>
      <c r="L89" s="19" t="n"/>
      <c r="M89" s="21" t="n"/>
      <c r="N89" s="18">
        <f>IF(C89="","",IF(L89&lt;&gt;"","支払済","未払"))</f>
        <v/>
      </c>
    </row>
    <row r="90">
      <c r="A90" s="14">
        <f>IF(C90&lt;&gt;"",ROW()-1,"")</f>
        <v/>
      </c>
      <c r="B90" s="15" t="n"/>
      <c r="C90" s="16" t="n"/>
      <c r="D90" s="14">
        <f>IF(C90="","",IFERROR(VLOOKUP(C90,マスター!A:B,2,0),""))</f>
        <v/>
      </c>
      <c r="E90" s="14">
        <f>IF(C90="","",IFERROR(VLOOKUP(C90,マスター!A:C,3,0),""))</f>
        <v/>
      </c>
      <c r="F90" s="16" t="n"/>
      <c r="G90" s="17" t="n"/>
      <c r="H90" s="17">
        <f>IF(G90="","",G90*0.1)</f>
        <v/>
      </c>
      <c r="I90" s="17">
        <f>IF(G90="","",G90+H90)</f>
        <v/>
      </c>
      <c r="J90" s="15" t="n"/>
      <c r="K90" s="15">
        <f>IF(J90="","",EOMONTH(J90,1))</f>
        <v/>
      </c>
      <c r="L90" s="15" t="n"/>
      <c r="M90" s="17" t="n"/>
      <c r="N90" s="14">
        <f>IF(C90="","",IF(L90&lt;&gt;"","支払済","未払"))</f>
        <v/>
      </c>
    </row>
    <row r="91">
      <c r="A91" s="18">
        <f>IF(C91&lt;&gt;"",ROW()-1,"")</f>
        <v/>
      </c>
      <c r="B91" s="19" t="n"/>
      <c r="C91" s="20" t="n"/>
      <c r="D91" s="18">
        <f>IF(C91="","",IFERROR(VLOOKUP(C91,マスター!A:B,2,0),""))</f>
        <v/>
      </c>
      <c r="E91" s="18">
        <f>IF(C91="","",IFERROR(VLOOKUP(C91,マスター!A:C,3,0),""))</f>
        <v/>
      </c>
      <c r="F91" s="20" t="n"/>
      <c r="G91" s="21" t="n"/>
      <c r="H91" s="21">
        <f>IF(G91="","",G91*0.1)</f>
        <v/>
      </c>
      <c r="I91" s="21">
        <f>IF(G91="","",G91+H91)</f>
        <v/>
      </c>
      <c r="J91" s="19" t="n"/>
      <c r="K91" s="19">
        <f>IF(J91="","",EOMONTH(J91,1))</f>
        <v/>
      </c>
      <c r="L91" s="19" t="n"/>
      <c r="M91" s="21" t="n"/>
      <c r="N91" s="18">
        <f>IF(C91="","",IF(L91&lt;&gt;"","支払済","未払"))</f>
        <v/>
      </c>
    </row>
    <row r="92">
      <c r="A92" s="14">
        <f>IF(C92&lt;&gt;"",ROW()-1,"")</f>
        <v/>
      </c>
      <c r="B92" s="15" t="n"/>
      <c r="C92" s="16" t="n"/>
      <c r="D92" s="14">
        <f>IF(C92="","",IFERROR(VLOOKUP(C92,マスター!A:B,2,0),""))</f>
        <v/>
      </c>
      <c r="E92" s="14">
        <f>IF(C92="","",IFERROR(VLOOKUP(C92,マスター!A:C,3,0),""))</f>
        <v/>
      </c>
      <c r="F92" s="16" t="n"/>
      <c r="G92" s="17" t="n"/>
      <c r="H92" s="17">
        <f>IF(G92="","",G92*0.1)</f>
        <v/>
      </c>
      <c r="I92" s="17">
        <f>IF(G92="","",G92+H92)</f>
        <v/>
      </c>
      <c r="J92" s="15" t="n"/>
      <c r="K92" s="15">
        <f>IF(J92="","",EOMONTH(J92,1))</f>
        <v/>
      </c>
      <c r="L92" s="15" t="n"/>
      <c r="M92" s="17" t="n"/>
      <c r="N92" s="14">
        <f>IF(C92="","",IF(L92&lt;&gt;"","支払済","未払"))</f>
        <v/>
      </c>
    </row>
    <row r="93">
      <c r="A93" s="18">
        <f>IF(C93&lt;&gt;"",ROW()-1,"")</f>
        <v/>
      </c>
      <c r="B93" s="19" t="n"/>
      <c r="C93" s="20" t="n"/>
      <c r="D93" s="18">
        <f>IF(C93="","",IFERROR(VLOOKUP(C93,マスター!A:B,2,0),""))</f>
        <v/>
      </c>
      <c r="E93" s="18">
        <f>IF(C93="","",IFERROR(VLOOKUP(C93,マスター!A:C,3,0),""))</f>
        <v/>
      </c>
      <c r="F93" s="20" t="n"/>
      <c r="G93" s="21" t="n"/>
      <c r="H93" s="21">
        <f>IF(G93="","",G93*0.1)</f>
        <v/>
      </c>
      <c r="I93" s="21">
        <f>IF(G93="","",G93+H93)</f>
        <v/>
      </c>
      <c r="J93" s="19" t="n"/>
      <c r="K93" s="19">
        <f>IF(J93="","",EOMONTH(J93,1))</f>
        <v/>
      </c>
      <c r="L93" s="19" t="n"/>
      <c r="M93" s="21" t="n"/>
      <c r="N93" s="18">
        <f>IF(C93="","",IF(L93&lt;&gt;"","支払済","未払"))</f>
        <v/>
      </c>
    </row>
    <row r="94">
      <c r="A94" s="14">
        <f>IF(C94&lt;&gt;"",ROW()-1,"")</f>
        <v/>
      </c>
      <c r="B94" s="15" t="n"/>
      <c r="C94" s="16" t="n"/>
      <c r="D94" s="14">
        <f>IF(C94="","",IFERROR(VLOOKUP(C94,マスター!A:B,2,0),""))</f>
        <v/>
      </c>
      <c r="E94" s="14">
        <f>IF(C94="","",IFERROR(VLOOKUP(C94,マスター!A:C,3,0),""))</f>
        <v/>
      </c>
      <c r="F94" s="16" t="n"/>
      <c r="G94" s="17" t="n"/>
      <c r="H94" s="17">
        <f>IF(G94="","",G94*0.1)</f>
        <v/>
      </c>
      <c r="I94" s="17">
        <f>IF(G94="","",G94+H94)</f>
        <v/>
      </c>
      <c r="J94" s="15" t="n"/>
      <c r="K94" s="15">
        <f>IF(J94="","",EOMONTH(J94,1))</f>
        <v/>
      </c>
      <c r="L94" s="15" t="n"/>
      <c r="M94" s="17" t="n"/>
      <c r="N94" s="14">
        <f>IF(C94="","",IF(L94&lt;&gt;"","支払済","未払"))</f>
        <v/>
      </c>
    </row>
    <row r="95">
      <c r="A95" s="18">
        <f>IF(C95&lt;&gt;"",ROW()-1,"")</f>
        <v/>
      </c>
      <c r="B95" s="19" t="n"/>
      <c r="C95" s="20" t="n"/>
      <c r="D95" s="18">
        <f>IF(C95="","",IFERROR(VLOOKUP(C95,マスター!A:B,2,0),""))</f>
        <v/>
      </c>
      <c r="E95" s="18">
        <f>IF(C95="","",IFERROR(VLOOKUP(C95,マスター!A:C,3,0),""))</f>
        <v/>
      </c>
      <c r="F95" s="20" t="n"/>
      <c r="G95" s="21" t="n"/>
      <c r="H95" s="21">
        <f>IF(G95="","",G95*0.1)</f>
        <v/>
      </c>
      <c r="I95" s="21">
        <f>IF(G95="","",G95+H95)</f>
        <v/>
      </c>
      <c r="J95" s="19" t="n"/>
      <c r="K95" s="19">
        <f>IF(J95="","",EOMONTH(J95,1))</f>
        <v/>
      </c>
      <c r="L95" s="19" t="n"/>
      <c r="M95" s="21" t="n"/>
      <c r="N95" s="18">
        <f>IF(C95="","",IF(L95&lt;&gt;"","支払済","未払"))</f>
        <v/>
      </c>
    </row>
    <row r="96">
      <c r="A96" s="14">
        <f>IF(C96&lt;&gt;"",ROW()-1,"")</f>
        <v/>
      </c>
      <c r="B96" s="15" t="n"/>
      <c r="C96" s="16" t="n"/>
      <c r="D96" s="14">
        <f>IF(C96="","",IFERROR(VLOOKUP(C96,マスター!A:B,2,0),""))</f>
        <v/>
      </c>
      <c r="E96" s="14">
        <f>IF(C96="","",IFERROR(VLOOKUP(C96,マスター!A:C,3,0),""))</f>
        <v/>
      </c>
      <c r="F96" s="16" t="n"/>
      <c r="G96" s="17" t="n"/>
      <c r="H96" s="17">
        <f>IF(G96="","",G96*0.1)</f>
        <v/>
      </c>
      <c r="I96" s="17">
        <f>IF(G96="","",G96+H96)</f>
        <v/>
      </c>
      <c r="J96" s="15" t="n"/>
      <c r="K96" s="15">
        <f>IF(J96="","",EOMONTH(J96,1))</f>
        <v/>
      </c>
      <c r="L96" s="15" t="n"/>
      <c r="M96" s="17" t="n"/>
      <c r="N96" s="14">
        <f>IF(C96="","",IF(L96&lt;&gt;"","支払済","未払"))</f>
        <v/>
      </c>
    </row>
    <row r="97">
      <c r="A97" s="18">
        <f>IF(C97&lt;&gt;"",ROW()-1,"")</f>
        <v/>
      </c>
      <c r="B97" s="19" t="n"/>
      <c r="C97" s="20" t="n"/>
      <c r="D97" s="18">
        <f>IF(C97="","",IFERROR(VLOOKUP(C97,マスター!A:B,2,0),""))</f>
        <v/>
      </c>
      <c r="E97" s="18">
        <f>IF(C97="","",IFERROR(VLOOKUP(C97,マスター!A:C,3,0),""))</f>
        <v/>
      </c>
      <c r="F97" s="20" t="n"/>
      <c r="G97" s="21" t="n"/>
      <c r="H97" s="21">
        <f>IF(G97="","",G97*0.1)</f>
        <v/>
      </c>
      <c r="I97" s="21">
        <f>IF(G97="","",G97+H97)</f>
        <v/>
      </c>
      <c r="J97" s="19" t="n"/>
      <c r="K97" s="19">
        <f>IF(J97="","",EOMONTH(J97,1))</f>
        <v/>
      </c>
      <c r="L97" s="19" t="n"/>
      <c r="M97" s="21" t="n"/>
      <c r="N97" s="18">
        <f>IF(C97="","",IF(L97&lt;&gt;"","支払済","未払"))</f>
        <v/>
      </c>
    </row>
    <row r="98">
      <c r="A98" s="14">
        <f>IF(C98&lt;&gt;"",ROW()-1,"")</f>
        <v/>
      </c>
      <c r="B98" s="15" t="n"/>
      <c r="C98" s="16" t="n"/>
      <c r="D98" s="14">
        <f>IF(C98="","",IFERROR(VLOOKUP(C98,マスター!A:B,2,0),""))</f>
        <v/>
      </c>
      <c r="E98" s="14">
        <f>IF(C98="","",IFERROR(VLOOKUP(C98,マスター!A:C,3,0),""))</f>
        <v/>
      </c>
      <c r="F98" s="16" t="n"/>
      <c r="G98" s="17" t="n"/>
      <c r="H98" s="17">
        <f>IF(G98="","",G98*0.1)</f>
        <v/>
      </c>
      <c r="I98" s="17">
        <f>IF(G98="","",G98+H98)</f>
        <v/>
      </c>
      <c r="J98" s="15" t="n"/>
      <c r="K98" s="15">
        <f>IF(J98="","",EOMONTH(J98,1))</f>
        <v/>
      </c>
      <c r="L98" s="15" t="n"/>
      <c r="M98" s="17" t="n"/>
      <c r="N98" s="14">
        <f>IF(C98="","",IF(L98&lt;&gt;"","支払済","未払"))</f>
        <v/>
      </c>
    </row>
    <row r="99">
      <c r="A99" s="18">
        <f>IF(C99&lt;&gt;"",ROW()-1,"")</f>
        <v/>
      </c>
      <c r="B99" s="19" t="n"/>
      <c r="C99" s="20" t="n"/>
      <c r="D99" s="18">
        <f>IF(C99="","",IFERROR(VLOOKUP(C99,マスター!A:B,2,0),""))</f>
        <v/>
      </c>
      <c r="E99" s="18">
        <f>IF(C99="","",IFERROR(VLOOKUP(C99,マスター!A:C,3,0),""))</f>
        <v/>
      </c>
      <c r="F99" s="20" t="n"/>
      <c r="G99" s="21" t="n"/>
      <c r="H99" s="21">
        <f>IF(G99="","",G99*0.1)</f>
        <v/>
      </c>
      <c r="I99" s="21">
        <f>IF(G99="","",G99+H99)</f>
        <v/>
      </c>
      <c r="J99" s="19" t="n"/>
      <c r="K99" s="19">
        <f>IF(J99="","",EOMONTH(J99,1))</f>
        <v/>
      </c>
      <c r="L99" s="19" t="n"/>
      <c r="M99" s="21" t="n"/>
      <c r="N99" s="18">
        <f>IF(C99="","",IF(L99&lt;&gt;"","支払済","未払"))</f>
        <v/>
      </c>
    </row>
    <row r="100">
      <c r="A100" s="14">
        <f>IF(C100&lt;&gt;"",ROW()-1,"")</f>
        <v/>
      </c>
      <c r="B100" s="15" t="n"/>
      <c r="C100" s="16" t="n"/>
      <c r="D100" s="14">
        <f>IF(C100="","",IFERROR(VLOOKUP(C100,マスター!A:B,2,0),""))</f>
        <v/>
      </c>
      <c r="E100" s="14">
        <f>IF(C100="","",IFERROR(VLOOKUP(C100,マスター!A:C,3,0),""))</f>
        <v/>
      </c>
      <c r="F100" s="16" t="n"/>
      <c r="G100" s="17" t="n"/>
      <c r="H100" s="17">
        <f>IF(G100="","",G100*0.1)</f>
        <v/>
      </c>
      <c r="I100" s="17">
        <f>IF(G100="","",G100+H100)</f>
        <v/>
      </c>
      <c r="J100" s="15" t="n"/>
      <c r="K100" s="15">
        <f>IF(J100="","",EOMONTH(J100,1))</f>
        <v/>
      </c>
      <c r="L100" s="15" t="n"/>
      <c r="M100" s="17" t="n"/>
      <c r="N100" s="14">
        <f>IF(C100="","",IF(L100&lt;&gt;"","支払済","未払"))</f>
        <v/>
      </c>
    </row>
    <row r="101">
      <c r="A101" s="18">
        <f>IF(C101&lt;&gt;"",ROW()-1,"")</f>
        <v/>
      </c>
      <c r="B101" s="19" t="n"/>
      <c r="C101" s="20" t="n"/>
      <c r="D101" s="18">
        <f>IF(C101="","",IFERROR(VLOOKUP(C101,マスター!A:B,2,0),""))</f>
        <v/>
      </c>
      <c r="E101" s="18">
        <f>IF(C101="","",IFERROR(VLOOKUP(C101,マスター!A:C,3,0),""))</f>
        <v/>
      </c>
      <c r="F101" s="20" t="n"/>
      <c r="G101" s="21" t="n"/>
      <c r="H101" s="21">
        <f>IF(G101="","",G101*0.1)</f>
        <v/>
      </c>
      <c r="I101" s="21">
        <f>IF(G101="","",G101+H101)</f>
        <v/>
      </c>
      <c r="J101" s="19" t="n"/>
      <c r="K101" s="19">
        <f>IF(J101="","",EOMONTH(J101,1))</f>
        <v/>
      </c>
      <c r="L101" s="19" t="n"/>
      <c r="M101" s="21" t="n"/>
      <c r="N101" s="18">
        <f>IF(C101="","",IF(L101&lt;&gt;"","支払済","未払"))</f>
        <v/>
      </c>
    </row>
    <row r="102">
      <c r="A102" s="14">
        <f>IF(C102&lt;&gt;"",ROW()-1,"")</f>
        <v/>
      </c>
      <c r="B102" s="15" t="n"/>
      <c r="C102" s="16" t="n"/>
      <c r="D102" s="14">
        <f>IF(C102="","",IFERROR(VLOOKUP(C102,マスター!A:B,2,0),""))</f>
        <v/>
      </c>
      <c r="E102" s="14">
        <f>IF(C102="","",IFERROR(VLOOKUP(C102,マスター!A:C,3,0),""))</f>
        <v/>
      </c>
      <c r="F102" s="16" t="n"/>
      <c r="G102" s="17" t="n"/>
      <c r="H102" s="17">
        <f>IF(G102="","",G102*0.1)</f>
        <v/>
      </c>
      <c r="I102" s="17">
        <f>IF(G102="","",G102+H102)</f>
        <v/>
      </c>
      <c r="J102" s="15" t="n"/>
      <c r="K102" s="15">
        <f>IF(J102="","",EOMONTH(J102,1))</f>
        <v/>
      </c>
      <c r="L102" s="15" t="n"/>
      <c r="M102" s="17" t="n"/>
      <c r="N102" s="14">
        <f>IF(C102="","",IF(L102&lt;&gt;"","支払済","未払"))</f>
        <v/>
      </c>
    </row>
    <row r="103">
      <c r="A103" s="18">
        <f>IF(C103&lt;&gt;"",ROW()-1,"")</f>
        <v/>
      </c>
      <c r="B103" s="19" t="n"/>
      <c r="C103" s="20" t="n"/>
      <c r="D103" s="18">
        <f>IF(C103="","",IFERROR(VLOOKUP(C103,マスター!A:B,2,0),""))</f>
        <v/>
      </c>
      <c r="E103" s="18">
        <f>IF(C103="","",IFERROR(VLOOKUP(C103,マスター!A:C,3,0),""))</f>
        <v/>
      </c>
      <c r="F103" s="20" t="n"/>
      <c r="G103" s="21" t="n"/>
      <c r="H103" s="21">
        <f>IF(G103="","",G103*0.1)</f>
        <v/>
      </c>
      <c r="I103" s="21">
        <f>IF(G103="","",G103+H103)</f>
        <v/>
      </c>
      <c r="J103" s="19" t="n"/>
      <c r="K103" s="19">
        <f>IF(J103="","",EOMONTH(J103,1))</f>
        <v/>
      </c>
      <c r="L103" s="19" t="n"/>
      <c r="M103" s="21" t="n"/>
      <c r="N103" s="18">
        <f>IF(C103="","",IF(L103&lt;&gt;"","支払済","未払"))</f>
        <v/>
      </c>
    </row>
    <row r="104">
      <c r="A104" s="14">
        <f>IF(C104&lt;&gt;"",ROW()-1,"")</f>
        <v/>
      </c>
      <c r="B104" s="15" t="n"/>
      <c r="C104" s="16" t="n"/>
      <c r="D104" s="14">
        <f>IF(C104="","",IFERROR(VLOOKUP(C104,マスター!A:B,2,0),""))</f>
        <v/>
      </c>
      <c r="E104" s="14">
        <f>IF(C104="","",IFERROR(VLOOKUP(C104,マスター!A:C,3,0),""))</f>
        <v/>
      </c>
      <c r="F104" s="16" t="n"/>
      <c r="G104" s="17" t="n"/>
      <c r="H104" s="17">
        <f>IF(G104="","",G104*0.1)</f>
        <v/>
      </c>
      <c r="I104" s="17">
        <f>IF(G104="","",G104+H104)</f>
        <v/>
      </c>
      <c r="J104" s="15" t="n"/>
      <c r="K104" s="15">
        <f>IF(J104="","",EOMONTH(J104,1))</f>
        <v/>
      </c>
      <c r="L104" s="15" t="n"/>
      <c r="M104" s="17" t="n"/>
      <c r="N104" s="14">
        <f>IF(C104="","",IF(L104&lt;&gt;"","支払済","未払"))</f>
        <v/>
      </c>
    </row>
    <row r="105">
      <c r="A105" s="18">
        <f>IF(C105&lt;&gt;"",ROW()-1,"")</f>
        <v/>
      </c>
      <c r="B105" s="19" t="n"/>
      <c r="C105" s="20" t="n"/>
      <c r="D105" s="18">
        <f>IF(C105="","",IFERROR(VLOOKUP(C105,マスター!A:B,2,0),""))</f>
        <v/>
      </c>
      <c r="E105" s="18">
        <f>IF(C105="","",IFERROR(VLOOKUP(C105,マスター!A:C,3,0),""))</f>
        <v/>
      </c>
      <c r="F105" s="20" t="n"/>
      <c r="G105" s="21" t="n"/>
      <c r="H105" s="21">
        <f>IF(G105="","",G105*0.1)</f>
        <v/>
      </c>
      <c r="I105" s="21">
        <f>IF(G105="","",G105+H105)</f>
        <v/>
      </c>
      <c r="J105" s="19" t="n"/>
      <c r="K105" s="19">
        <f>IF(J105="","",EOMONTH(J105,1))</f>
        <v/>
      </c>
      <c r="L105" s="19" t="n"/>
      <c r="M105" s="21" t="n"/>
      <c r="N105" s="18">
        <f>IF(C105="","",IF(L105&lt;&gt;"","支払済","未払"))</f>
        <v/>
      </c>
    </row>
    <row r="106">
      <c r="A106" s="14">
        <f>IF(C106&lt;&gt;"",ROW()-1,"")</f>
        <v/>
      </c>
      <c r="B106" s="15" t="n"/>
      <c r="C106" s="16" t="n"/>
      <c r="D106" s="14">
        <f>IF(C106="","",IFERROR(VLOOKUP(C106,マスター!A:B,2,0),""))</f>
        <v/>
      </c>
      <c r="E106" s="14">
        <f>IF(C106="","",IFERROR(VLOOKUP(C106,マスター!A:C,3,0),""))</f>
        <v/>
      </c>
      <c r="F106" s="16" t="n"/>
      <c r="G106" s="17" t="n"/>
      <c r="H106" s="17">
        <f>IF(G106="","",G106*0.1)</f>
        <v/>
      </c>
      <c r="I106" s="17">
        <f>IF(G106="","",G106+H106)</f>
        <v/>
      </c>
      <c r="J106" s="15" t="n"/>
      <c r="K106" s="15">
        <f>IF(J106="","",EOMONTH(J106,1))</f>
        <v/>
      </c>
      <c r="L106" s="15" t="n"/>
      <c r="M106" s="17" t="n"/>
      <c r="N106" s="14">
        <f>IF(C106="","",IF(L106&lt;&gt;"","支払済","未払"))</f>
        <v/>
      </c>
    </row>
    <row r="107">
      <c r="A107" s="18">
        <f>IF(C107&lt;&gt;"",ROW()-1,"")</f>
        <v/>
      </c>
      <c r="B107" s="19" t="n"/>
      <c r="C107" s="20" t="n"/>
      <c r="D107" s="18">
        <f>IF(C107="","",IFERROR(VLOOKUP(C107,マスター!A:B,2,0),""))</f>
        <v/>
      </c>
      <c r="E107" s="18">
        <f>IF(C107="","",IFERROR(VLOOKUP(C107,マスター!A:C,3,0),""))</f>
        <v/>
      </c>
      <c r="F107" s="20" t="n"/>
      <c r="G107" s="21" t="n"/>
      <c r="H107" s="21">
        <f>IF(G107="","",G107*0.1)</f>
        <v/>
      </c>
      <c r="I107" s="21">
        <f>IF(G107="","",G107+H107)</f>
        <v/>
      </c>
      <c r="J107" s="19" t="n"/>
      <c r="K107" s="19">
        <f>IF(J107="","",EOMONTH(J107,1))</f>
        <v/>
      </c>
      <c r="L107" s="19" t="n"/>
      <c r="M107" s="21" t="n"/>
      <c r="N107" s="18">
        <f>IF(C107="","",IF(L107&lt;&gt;"","支払済","未払"))</f>
        <v/>
      </c>
    </row>
    <row r="108">
      <c r="A108" s="14">
        <f>IF(C108&lt;&gt;"",ROW()-1,"")</f>
        <v/>
      </c>
      <c r="B108" s="15" t="n"/>
      <c r="C108" s="16" t="n"/>
      <c r="D108" s="14">
        <f>IF(C108="","",IFERROR(VLOOKUP(C108,マスター!A:B,2,0),""))</f>
        <v/>
      </c>
      <c r="E108" s="14">
        <f>IF(C108="","",IFERROR(VLOOKUP(C108,マスター!A:C,3,0),""))</f>
        <v/>
      </c>
      <c r="F108" s="16" t="n"/>
      <c r="G108" s="17" t="n"/>
      <c r="H108" s="17">
        <f>IF(G108="","",G108*0.1)</f>
        <v/>
      </c>
      <c r="I108" s="17">
        <f>IF(G108="","",G108+H108)</f>
        <v/>
      </c>
      <c r="J108" s="15" t="n"/>
      <c r="K108" s="15">
        <f>IF(J108="","",EOMONTH(J108,1))</f>
        <v/>
      </c>
      <c r="L108" s="15" t="n"/>
      <c r="M108" s="17" t="n"/>
      <c r="N108" s="14">
        <f>IF(C108="","",IF(L108&lt;&gt;"","支払済","未払"))</f>
        <v/>
      </c>
    </row>
    <row r="109">
      <c r="A109" s="18">
        <f>IF(C109&lt;&gt;"",ROW()-1,"")</f>
        <v/>
      </c>
      <c r="B109" s="19" t="n"/>
      <c r="C109" s="20" t="n"/>
      <c r="D109" s="18">
        <f>IF(C109="","",IFERROR(VLOOKUP(C109,マスター!A:B,2,0),""))</f>
        <v/>
      </c>
      <c r="E109" s="18">
        <f>IF(C109="","",IFERROR(VLOOKUP(C109,マスター!A:C,3,0),""))</f>
        <v/>
      </c>
      <c r="F109" s="20" t="n"/>
      <c r="G109" s="21" t="n"/>
      <c r="H109" s="21">
        <f>IF(G109="","",G109*0.1)</f>
        <v/>
      </c>
      <c r="I109" s="21">
        <f>IF(G109="","",G109+H109)</f>
        <v/>
      </c>
      <c r="J109" s="19" t="n"/>
      <c r="K109" s="19">
        <f>IF(J109="","",EOMONTH(J109,1))</f>
        <v/>
      </c>
      <c r="L109" s="19" t="n"/>
      <c r="M109" s="21" t="n"/>
      <c r="N109" s="18">
        <f>IF(C109="","",IF(L109&lt;&gt;"","支払済","未払"))</f>
        <v/>
      </c>
    </row>
    <row r="110">
      <c r="A110" s="14">
        <f>IF(C110&lt;&gt;"",ROW()-1,"")</f>
        <v/>
      </c>
      <c r="B110" s="15" t="n"/>
      <c r="C110" s="16" t="n"/>
      <c r="D110" s="14">
        <f>IF(C110="","",IFERROR(VLOOKUP(C110,マスター!A:B,2,0),""))</f>
        <v/>
      </c>
      <c r="E110" s="14">
        <f>IF(C110="","",IFERROR(VLOOKUP(C110,マスター!A:C,3,0),""))</f>
        <v/>
      </c>
      <c r="F110" s="16" t="n"/>
      <c r="G110" s="17" t="n"/>
      <c r="H110" s="17">
        <f>IF(G110="","",G110*0.1)</f>
        <v/>
      </c>
      <c r="I110" s="17">
        <f>IF(G110="","",G110+H110)</f>
        <v/>
      </c>
      <c r="J110" s="15" t="n"/>
      <c r="K110" s="15">
        <f>IF(J110="","",EOMONTH(J110,1))</f>
        <v/>
      </c>
      <c r="L110" s="15" t="n"/>
      <c r="M110" s="17" t="n"/>
      <c r="N110" s="14">
        <f>IF(C110="","",IF(L110&lt;&gt;"","支払済","未払"))</f>
        <v/>
      </c>
    </row>
    <row r="111">
      <c r="A111" s="18">
        <f>IF(C111&lt;&gt;"",ROW()-1,"")</f>
        <v/>
      </c>
      <c r="B111" s="19" t="n"/>
      <c r="C111" s="20" t="n"/>
      <c r="D111" s="18">
        <f>IF(C111="","",IFERROR(VLOOKUP(C111,マスター!A:B,2,0),""))</f>
        <v/>
      </c>
      <c r="E111" s="18">
        <f>IF(C111="","",IFERROR(VLOOKUP(C111,マスター!A:C,3,0),""))</f>
        <v/>
      </c>
      <c r="F111" s="20" t="n"/>
      <c r="G111" s="21" t="n"/>
      <c r="H111" s="21">
        <f>IF(G111="","",G111*0.1)</f>
        <v/>
      </c>
      <c r="I111" s="21">
        <f>IF(G111="","",G111+H111)</f>
        <v/>
      </c>
      <c r="J111" s="19" t="n"/>
      <c r="K111" s="19">
        <f>IF(J111="","",EOMONTH(J111,1))</f>
        <v/>
      </c>
      <c r="L111" s="19" t="n"/>
      <c r="M111" s="21" t="n"/>
      <c r="N111" s="18">
        <f>IF(C111="","",IF(L111&lt;&gt;"","支払済","未払"))</f>
        <v/>
      </c>
    </row>
    <row r="112">
      <c r="A112" s="14">
        <f>IF(C112&lt;&gt;"",ROW()-1,"")</f>
        <v/>
      </c>
      <c r="B112" s="15" t="n"/>
      <c r="C112" s="16" t="n"/>
      <c r="D112" s="14">
        <f>IF(C112="","",IFERROR(VLOOKUP(C112,マスター!A:B,2,0),""))</f>
        <v/>
      </c>
      <c r="E112" s="14">
        <f>IF(C112="","",IFERROR(VLOOKUP(C112,マスター!A:C,3,0),""))</f>
        <v/>
      </c>
      <c r="F112" s="16" t="n"/>
      <c r="G112" s="17" t="n"/>
      <c r="H112" s="17">
        <f>IF(G112="","",G112*0.1)</f>
        <v/>
      </c>
      <c r="I112" s="17">
        <f>IF(G112="","",G112+H112)</f>
        <v/>
      </c>
      <c r="J112" s="15" t="n"/>
      <c r="K112" s="15">
        <f>IF(J112="","",EOMONTH(J112,1))</f>
        <v/>
      </c>
      <c r="L112" s="15" t="n"/>
      <c r="M112" s="17" t="n"/>
      <c r="N112" s="14">
        <f>IF(C112="","",IF(L112&lt;&gt;"","支払済","未払"))</f>
        <v/>
      </c>
    </row>
    <row r="113">
      <c r="A113" s="18">
        <f>IF(C113&lt;&gt;"",ROW()-1,"")</f>
        <v/>
      </c>
      <c r="B113" s="19" t="n"/>
      <c r="C113" s="20" t="n"/>
      <c r="D113" s="18">
        <f>IF(C113="","",IFERROR(VLOOKUP(C113,マスター!A:B,2,0),""))</f>
        <v/>
      </c>
      <c r="E113" s="18">
        <f>IF(C113="","",IFERROR(VLOOKUP(C113,マスター!A:C,3,0),""))</f>
        <v/>
      </c>
      <c r="F113" s="20" t="n"/>
      <c r="G113" s="21" t="n"/>
      <c r="H113" s="21">
        <f>IF(G113="","",G113*0.1)</f>
        <v/>
      </c>
      <c r="I113" s="21">
        <f>IF(G113="","",G113+H113)</f>
        <v/>
      </c>
      <c r="J113" s="19" t="n"/>
      <c r="K113" s="19">
        <f>IF(J113="","",EOMONTH(J113,1))</f>
        <v/>
      </c>
      <c r="L113" s="19" t="n"/>
      <c r="M113" s="21" t="n"/>
      <c r="N113" s="18">
        <f>IF(C113="","",IF(L113&lt;&gt;"","支払済","未払"))</f>
        <v/>
      </c>
    </row>
    <row r="114">
      <c r="A114" s="14">
        <f>IF(C114&lt;&gt;"",ROW()-1,"")</f>
        <v/>
      </c>
      <c r="B114" s="15" t="n"/>
      <c r="C114" s="16" t="n"/>
      <c r="D114" s="14">
        <f>IF(C114="","",IFERROR(VLOOKUP(C114,マスター!A:B,2,0),""))</f>
        <v/>
      </c>
      <c r="E114" s="14">
        <f>IF(C114="","",IFERROR(VLOOKUP(C114,マスター!A:C,3,0),""))</f>
        <v/>
      </c>
      <c r="F114" s="16" t="n"/>
      <c r="G114" s="17" t="n"/>
      <c r="H114" s="17">
        <f>IF(G114="","",G114*0.1)</f>
        <v/>
      </c>
      <c r="I114" s="17">
        <f>IF(G114="","",G114+H114)</f>
        <v/>
      </c>
      <c r="J114" s="15" t="n"/>
      <c r="K114" s="15">
        <f>IF(J114="","",EOMONTH(J114,1))</f>
        <v/>
      </c>
      <c r="L114" s="15" t="n"/>
      <c r="M114" s="17" t="n"/>
      <c r="N114" s="14">
        <f>IF(C114="","",IF(L114&lt;&gt;"","支払済","未払"))</f>
        <v/>
      </c>
    </row>
    <row r="115">
      <c r="A115" s="18">
        <f>IF(C115&lt;&gt;"",ROW()-1,"")</f>
        <v/>
      </c>
      <c r="B115" s="19" t="n"/>
      <c r="C115" s="20" t="n"/>
      <c r="D115" s="18">
        <f>IF(C115="","",IFERROR(VLOOKUP(C115,マスター!A:B,2,0),""))</f>
        <v/>
      </c>
      <c r="E115" s="18">
        <f>IF(C115="","",IFERROR(VLOOKUP(C115,マスター!A:C,3,0),""))</f>
        <v/>
      </c>
      <c r="F115" s="20" t="n"/>
      <c r="G115" s="21" t="n"/>
      <c r="H115" s="21">
        <f>IF(G115="","",G115*0.1)</f>
        <v/>
      </c>
      <c r="I115" s="21">
        <f>IF(G115="","",G115+H115)</f>
        <v/>
      </c>
      <c r="J115" s="19" t="n"/>
      <c r="K115" s="19">
        <f>IF(J115="","",EOMONTH(J115,1))</f>
        <v/>
      </c>
      <c r="L115" s="19" t="n"/>
      <c r="M115" s="21" t="n"/>
      <c r="N115" s="18">
        <f>IF(C115="","",IF(L115&lt;&gt;"","支払済","未払"))</f>
        <v/>
      </c>
    </row>
    <row r="116">
      <c r="A116" s="14">
        <f>IF(C116&lt;&gt;"",ROW()-1,"")</f>
        <v/>
      </c>
      <c r="B116" s="15" t="n"/>
      <c r="C116" s="16" t="n"/>
      <c r="D116" s="14">
        <f>IF(C116="","",IFERROR(VLOOKUP(C116,マスター!A:B,2,0),""))</f>
        <v/>
      </c>
      <c r="E116" s="14">
        <f>IF(C116="","",IFERROR(VLOOKUP(C116,マスター!A:C,3,0),""))</f>
        <v/>
      </c>
      <c r="F116" s="16" t="n"/>
      <c r="G116" s="17" t="n"/>
      <c r="H116" s="17">
        <f>IF(G116="","",G116*0.1)</f>
        <v/>
      </c>
      <c r="I116" s="17">
        <f>IF(G116="","",G116+H116)</f>
        <v/>
      </c>
      <c r="J116" s="15" t="n"/>
      <c r="K116" s="15">
        <f>IF(J116="","",EOMONTH(J116,1))</f>
        <v/>
      </c>
      <c r="L116" s="15" t="n"/>
      <c r="M116" s="17" t="n"/>
      <c r="N116" s="14">
        <f>IF(C116="","",IF(L116&lt;&gt;"","支払済","未払"))</f>
        <v/>
      </c>
    </row>
    <row r="117">
      <c r="A117" s="18">
        <f>IF(C117&lt;&gt;"",ROW()-1,"")</f>
        <v/>
      </c>
      <c r="B117" s="19" t="n"/>
      <c r="C117" s="20" t="n"/>
      <c r="D117" s="18">
        <f>IF(C117="","",IFERROR(VLOOKUP(C117,マスター!A:B,2,0),""))</f>
        <v/>
      </c>
      <c r="E117" s="18">
        <f>IF(C117="","",IFERROR(VLOOKUP(C117,マスター!A:C,3,0),""))</f>
        <v/>
      </c>
      <c r="F117" s="20" t="n"/>
      <c r="G117" s="21" t="n"/>
      <c r="H117" s="21">
        <f>IF(G117="","",G117*0.1)</f>
        <v/>
      </c>
      <c r="I117" s="21">
        <f>IF(G117="","",G117+H117)</f>
        <v/>
      </c>
      <c r="J117" s="19" t="n"/>
      <c r="K117" s="19">
        <f>IF(J117="","",EOMONTH(J117,1))</f>
        <v/>
      </c>
      <c r="L117" s="19" t="n"/>
      <c r="M117" s="21" t="n"/>
      <c r="N117" s="18">
        <f>IF(C117="","",IF(L117&lt;&gt;"","支払済","未払"))</f>
        <v/>
      </c>
    </row>
    <row r="118">
      <c r="A118" s="14">
        <f>IF(C118&lt;&gt;"",ROW()-1,"")</f>
        <v/>
      </c>
      <c r="B118" s="15" t="n"/>
      <c r="C118" s="16" t="n"/>
      <c r="D118" s="14">
        <f>IF(C118="","",IFERROR(VLOOKUP(C118,マスター!A:B,2,0),""))</f>
        <v/>
      </c>
      <c r="E118" s="14">
        <f>IF(C118="","",IFERROR(VLOOKUP(C118,マスター!A:C,3,0),""))</f>
        <v/>
      </c>
      <c r="F118" s="16" t="n"/>
      <c r="G118" s="17" t="n"/>
      <c r="H118" s="17">
        <f>IF(G118="","",G118*0.1)</f>
        <v/>
      </c>
      <c r="I118" s="17">
        <f>IF(G118="","",G118+H118)</f>
        <v/>
      </c>
      <c r="J118" s="15" t="n"/>
      <c r="K118" s="15">
        <f>IF(J118="","",EOMONTH(J118,1))</f>
        <v/>
      </c>
      <c r="L118" s="15" t="n"/>
      <c r="M118" s="17" t="n"/>
      <c r="N118" s="14">
        <f>IF(C118="","",IF(L118&lt;&gt;"","支払済","未払"))</f>
        <v/>
      </c>
    </row>
    <row r="119">
      <c r="A119" s="18">
        <f>IF(C119&lt;&gt;"",ROW()-1,"")</f>
        <v/>
      </c>
      <c r="B119" s="19" t="n"/>
      <c r="C119" s="20" t="n"/>
      <c r="D119" s="18">
        <f>IF(C119="","",IFERROR(VLOOKUP(C119,マスター!A:B,2,0),""))</f>
        <v/>
      </c>
      <c r="E119" s="18">
        <f>IF(C119="","",IFERROR(VLOOKUP(C119,マスター!A:C,3,0),""))</f>
        <v/>
      </c>
      <c r="F119" s="20" t="n"/>
      <c r="G119" s="21" t="n"/>
      <c r="H119" s="21">
        <f>IF(G119="","",G119*0.1)</f>
        <v/>
      </c>
      <c r="I119" s="21">
        <f>IF(G119="","",G119+H119)</f>
        <v/>
      </c>
      <c r="J119" s="19" t="n"/>
      <c r="K119" s="19">
        <f>IF(J119="","",EOMONTH(J119,1))</f>
        <v/>
      </c>
      <c r="L119" s="19" t="n"/>
      <c r="M119" s="21" t="n"/>
      <c r="N119" s="18">
        <f>IF(C119="","",IF(L119&lt;&gt;"","支払済","未払"))</f>
        <v/>
      </c>
    </row>
    <row r="120">
      <c r="A120" s="14">
        <f>IF(C120&lt;&gt;"",ROW()-1,"")</f>
        <v/>
      </c>
      <c r="B120" s="15" t="n"/>
      <c r="C120" s="16" t="n"/>
      <c r="D120" s="14">
        <f>IF(C120="","",IFERROR(VLOOKUP(C120,マスター!A:B,2,0),""))</f>
        <v/>
      </c>
      <c r="E120" s="14">
        <f>IF(C120="","",IFERROR(VLOOKUP(C120,マスター!A:C,3,0),""))</f>
        <v/>
      </c>
      <c r="F120" s="16" t="n"/>
      <c r="G120" s="17" t="n"/>
      <c r="H120" s="17">
        <f>IF(G120="","",G120*0.1)</f>
        <v/>
      </c>
      <c r="I120" s="17">
        <f>IF(G120="","",G120+H120)</f>
        <v/>
      </c>
      <c r="J120" s="15" t="n"/>
      <c r="K120" s="15">
        <f>IF(J120="","",EOMONTH(J120,1))</f>
        <v/>
      </c>
      <c r="L120" s="15" t="n"/>
      <c r="M120" s="17" t="n"/>
      <c r="N120" s="14">
        <f>IF(C120="","",IF(L120&lt;&gt;"","支払済","未払"))</f>
        <v/>
      </c>
    </row>
    <row r="121">
      <c r="A121" s="18">
        <f>IF(C121&lt;&gt;"",ROW()-1,"")</f>
        <v/>
      </c>
      <c r="B121" s="19" t="n"/>
      <c r="C121" s="20" t="n"/>
      <c r="D121" s="18">
        <f>IF(C121="","",IFERROR(VLOOKUP(C121,マスター!A:B,2,0),""))</f>
        <v/>
      </c>
      <c r="E121" s="18">
        <f>IF(C121="","",IFERROR(VLOOKUP(C121,マスター!A:C,3,0),""))</f>
        <v/>
      </c>
      <c r="F121" s="20" t="n"/>
      <c r="G121" s="21" t="n"/>
      <c r="H121" s="21">
        <f>IF(G121="","",G121*0.1)</f>
        <v/>
      </c>
      <c r="I121" s="21">
        <f>IF(G121="","",G121+H121)</f>
        <v/>
      </c>
      <c r="J121" s="19" t="n"/>
      <c r="K121" s="19">
        <f>IF(J121="","",EOMONTH(J121,1))</f>
        <v/>
      </c>
      <c r="L121" s="19" t="n"/>
      <c r="M121" s="21" t="n"/>
      <c r="N121" s="18">
        <f>IF(C121="","",IF(L121&lt;&gt;"","支払済","未払"))</f>
        <v/>
      </c>
    </row>
    <row r="122">
      <c r="A122" s="14">
        <f>IF(C122&lt;&gt;"",ROW()-1,"")</f>
        <v/>
      </c>
      <c r="B122" s="15" t="n"/>
      <c r="C122" s="16" t="n"/>
      <c r="D122" s="14">
        <f>IF(C122="","",IFERROR(VLOOKUP(C122,マスター!A:B,2,0),""))</f>
        <v/>
      </c>
      <c r="E122" s="14">
        <f>IF(C122="","",IFERROR(VLOOKUP(C122,マスター!A:C,3,0),""))</f>
        <v/>
      </c>
      <c r="F122" s="16" t="n"/>
      <c r="G122" s="17" t="n"/>
      <c r="H122" s="17">
        <f>IF(G122="","",G122*0.1)</f>
        <v/>
      </c>
      <c r="I122" s="17">
        <f>IF(G122="","",G122+H122)</f>
        <v/>
      </c>
      <c r="J122" s="15" t="n"/>
      <c r="K122" s="15">
        <f>IF(J122="","",EOMONTH(J122,1))</f>
        <v/>
      </c>
      <c r="L122" s="15" t="n"/>
      <c r="M122" s="17" t="n"/>
      <c r="N122" s="14">
        <f>IF(C122="","",IF(L122&lt;&gt;"","支払済","未払"))</f>
        <v/>
      </c>
    </row>
    <row r="123">
      <c r="A123" s="18">
        <f>IF(C123&lt;&gt;"",ROW()-1,"")</f>
        <v/>
      </c>
      <c r="B123" s="19" t="n"/>
      <c r="C123" s="20" t="n"/>
      <c r="D123" s="18">
        <f>IF(C123="","",IFERROR(VLOOKUP(C123,マスター!A:B,2,0),""))</f>
        <v/>
      </c>
      <c r="E123" s="18">
        <f>IF(C123="","",IFERROR(VLOOKUP(C123,マスター!A:C,3,0),""))</f>
        <v/>
      </c>
      <c r="F123" s="20" t="n"/>
      <c r="G123" s="21" t="n"/>
      <c r="H123" s="21">
        <f>IF(G123="","",G123*0.1)</f>
        <v/>
      </c>
      <c r="I123" s="21">
        <f>IF(G123="","",G123+H123)</f>
        <v/>
      </c>
      <c r="J123" s="19" t="n"/>
      <c r="K123" s="19">
        <f>IF(J123="","",EOMONTH(J123,1))</f>
        <v/>
      </c>
      <c r="L123" s="19" t="n"/>
      <c r="M123" s="21" t="n"/>
      <c r="N123" s="18">
        <f>IF(C123="","",IF(L123&lt;&gt;"","支払済","未払"))</f>
        <v/>
      </c>
    </row>
    <row r="124">
      <c r="A124" s="14">
        <f>IF(C124&lt;&gt;"",ROW()-1,"")</f>
        <v/>
      </c>
      <c r="B124" s="15" t="n"/>
      <c r="C124" s="16" t="n"/>
      <c r="D124" s="14">
        <f>IF(C124="","",IFERROR(VLOOKUP(C124,マスター!A:B,2,0),""))</f>
        <v/>
      </c>
      <c r="E124" s="14">
        <f>IF(C124="","",IFERROR(VLOOKUP(C124,マスター!A:C,3,0),""))</f>
        <v/>
      </c>
      <c r="F124" s="16" t="n"/>
      <c r="G124" s="17" t="n"/>
      <c r="H124" s="17">
        <f>IF(G124="","",G124*0.1)</f>
        <v/>
      </c>
      <c r="I124" s="17">
        <f>IF(G124="","",G124+H124)</f>
        <v/>
      </c>
      <c r="J124" s="15" t="n"/>
      <c r="K124" s="15">
        <f>IF(J124="","",EOMONTH(J124,1))</f>
        <v/>
      </c>
      <c r="L124" s="15" t="n"/>
      <c r="M124" s="17" t="n"/>
      <c r="N124" s="14">
        <f>IF(C124="","",IF(L124&lt;&gt;"","支払済","未払"))</f>
        <v/>
      </c>
    </row>
    <row r="125">
      <c r="A125" s="18">
        <f>IF(C125&lt;&gt;"",ROW()-1,"")</f>
        <v/>
      </c>
      <c r="B125" s="19" t="n"/>
      <c r="C125" s="20" t="n"/>
      <c r="D125" s="18">
        <f>IF(C125="","",IFERROR(VLOOKUP(C125,マスター!A:B,2,0),""))</f>
        <v/>
      </c>
      <c r="E125" s="18">
        <f>IF(C125="","",IFERROR(VLOOKUP(C125,マスター!A:C,3,0),""))</f>
        <v/>
      </c>
      <c r="F125" s="20" t="n"/>
      <c r="G125" s="21" t="n"/>
      <c r="H125" s="21">
        <f>IF(G125="","",G125*0.1)</f>
        <v/>
      </c>
      <c r="I125" s="21">
        <f>IF(G125="","",G125+H125)</f>
        <v/>
      </c>
      <c r="J125" s="19" t="n"/>
      <c r="K125" s="19">
        <f>IF(J125="","",EOMONTH(J125,1))</f>
        <v/>
      </c>
      <c r="L125" s="19" t="n"/>
      <c r="M125" s="21" t="n"/>
      <c r="N125" s="18">
        <f>IF(C125="","",IF(L125&lt;&gt;"","支払済","未払"))</f>
        <v/>
      </c>
    </row>
    <row r="126">
      <c r="A126" s="14">
        <f>IF(C126&lt;&gt;"",ROW()-1,"")</f>
        <v/>
      </c>
      <c r="B126" s="15" t="n"/>
      <c r="C126" s="16" t="n"/>
      <c r="D126" s="14">
        <f>IF(C126="","",IFERROR(VLOOKUP(C126,マスター!A:B,2,0),""))</f>
        <v/>
      </c>
      <c r="E126" s="14">
        <f>IF(C126="","",IFERROR(VLOOKUP(C126,マスター!A:C,3,0),""))</f>
        <v/>
      </c>
      <c r="F126" s="16" t="n"/>
      <c r="G126" s="17" t="n"/>
      <c r="H126" s="17">
        <f>IF(G126="","",G126*0.1)</f>
        <v/>
      </c>
      <c r="I126" s="17">
        <f>IF(G126="","",G126+H126)</f>
        <v/>
      </c>
      <c r="J126" s="15" t="n"/>
      <c r="K126" s="15">
        <f>IF(J126="","",EOMONTH(J126,1))</f>
        <v/>
      </c>
      <c r="L126" s="15" t="n"/>
      <c r="M126" s="17" t="n"/>
      <c r="N126" s="14">
        <f>IF(C126="","",IF(L126&lt;&gt;"","支払済","未払"))</f>
        <v/>
      </c>
    </row>
    <row r="127">
      <c r="A127" s="18">
        <f>IF(C127&lt;&gt;"",ROW()-1,"")</f>
        <v/>
      </c>
      <c r="B127" s="19" t="n"/>
      <c r="C127" s="20" t="n"/>
      <c r="D127" s="18">
        <f>IF(C127="","",IFERROR(VLOOKUP(C127,マスター!A:B,2,0),""))</f>
        <v/>
      </c>
      <c r="E127" s="18">
        <f>IF(C127="","",IFERROR(VLOOKUP(C127,マスター!A:C,3,0),""))</f>
        <v/>
      </c>
      <c r="F127" s="20" t="n"/>
      <c r="G127" s="21" t="n"/>
      <c r="H127" s="21">
        <f>IF(G127="","",G127*0.1)</f>
        <v/>
      </c>
      <c r="I127" s="21">
        <f>IF(G127="","",G127+H127)</f>
        <v/>
      </c>
      <c r="J127" s="19" t="n"/>
      <c r="K127" s="19">
        <f>IF(J127="","",EOMONTH(J127,1))</f>
        <v/>
      </c>
      <c r="L127" s="19" t="n"/>
      <c r="M127" s="21" t="n"/>
      <c r="N127" s="18">
        <f>IF(C127="","",IF(L127&lt;&gt;"","支払済","未払"))</f>
        <v/>
      </c>
    </row>
    <row r="128">
      <c r="A128" s="14">
        <f>IF(C128&lt;&gt;"",ROW()-1,"")</f>
        <v/>
      </c>
      <c r="B128" s="15" t="n"/>
      <c r="C128" s="16" t="n"/>
      <c r="D128" s="14">
        <f>IF(C128="","",IFERROR(VLOOKUP(C128,マスター!A:B,2,0),""))</f>
        <v/>
      </c>
      <c r="E128" s="14">
        <f>IF(C128="","",IFERROR(VLOOKUP(C128,マスター!A:C,3,0),""))</f>
        <v/>
      </c>
      <c r="F128" s="16" t="n"/>
      <c r="G128" s="17" t="n"/>
      <c r="H128" s="17">
        <f>IF(G128="","",G128*0.1)</f>
        <v/>
      </c>
      <c r="I128" s="17">
        <f>IF(G128="","",G128+H128)</f>
        <v/>
      </c>
      <c r="J128" s="15" t="n"/>
      <c r="K128" s="15">
        <f>IF(J128="","",EOMONTH(J128,1))</f>
        <v/>
      </c>
      <c r="L128" s="15" t="n"/>
      <c r="M128" s="17" t="n"/>
      <c r="N128" s="14">
        <f>IF(C128="","",IF(L128&lt;&gt;"","支払済","未払"))</f>
        <v/>
      </c>
    </row>
    <row r="129">
      <c r="A129" s="18">
        <f>IF(C129&lt;&gt;"",ROW()-1,"")</f>
        <v/>
      </c>
      <c r="B129" s="19" t="n"/>
      <c r="C129" s="20" t="n"/>
      <c r="D129" s="18">
        <f>IF(C129="","",IFERROR(VLOOKUP(C129,マスター!A:B,2,0),""))</f>
        <v/>
      </c>
      <c r="E129" s="18">
        <f>IF(C129="","",IFERROR(VLOOKUP(C129,マスター!A:C,3,0),""))</f>
        <v/>
      </c>
      <c r="F129" s="20" t="n"/>
      <c r="G129" s="21" t="n"/>
      <c r="H129" s="21">
        <f>IF(G129="","",G129*0.1)</f>
        <v/>
      </c>
      <c r="I129" s="21">
        <f>IF(G129="","",G129+H129)</f>
        <v/>
      </c>
      <c r="J129" s="19" t="n"/>
      <c r="K129" s="19">
        <f>IF(J129="","",EOMONTH(J129,1))</f>
        <v/>
      </c>
      <c r="L129" s="19" t="n"/>
      <c r="M129" s="21" t="n"/>
      <c r="N129" s="18">
        <f>IF(C129="","",IF(L129&lt;&gt;"","支払済","未払"))</f>
        <v/>
      </c>
    </row>
    <row r="130">
      <c r="A130" s="14">
        <f>IF(C130&lt;&gt;"",ROW()-1,"")</f>
        <v/>
      </c>
      <c r="B130" s="15" t="n"/>
      <c r="C130" s="16" t="n"/>
      <c r="D130" s="14">
        <f>IF(C130="","",IFERROR(VLOOKUP(C130,マスター!A:B,2,0),""))</f>
        <v/>
      </c>
      <c r="E130" s="14">
        <f>IF(C130="","",IFERROR(VLOOKUP(C130,マスター!A:C,3,0),""))</f>
        <v/>
      </c>
      <c r="F130" s="16" t="n"/>
      <c r="G130" s="17" t="n"/>
      <c r="H130" s="17">
        <f>IF(G130="","",G130*0.1)</f>
        <v/>
      </c>
      <c r="I130" s="17">
        <f>IF(G130="","",G130+H130)</f>
        <v/>
      </c>
      <c r="J130" s="15" t="n"/>
      <c r="K130" s="15">
        <f>IF(J130="","",EOMONTH(J130,1))</f>
        <v/>
      </c>
      <c r="L130" s="15" t="n"/>
      <c r="M130" s="17" t="n"/>
      <c r="N130" s="14">
        <f>IF(C130="","",IF(L130&lt;&gt;"","支払済","未払"))</f>
        <v/>
      </c>
    </row>
    <row r="131">
      <c r="A131" s="18">
        <f>IF(C131&lt;&gt;"",ROW()-1,"")</f>
        <v/>
      </c>
      <c r="B131" s="19" t="n"/>
      <c r="C131" s="20" t="n"/>
      <c r="D131" s="18">
        <f>IF(C131="","",IFERROR(VLOOKUP(C131,マスター!A:B,2,0),""))</f>
        <v/>
      </c>
      <c r="E131" s="18">
        <f>IF(C131="","",IFERROR(VLOOKUP(C131,マスター!A:C,3,0),""))</f>
        <v/>
      </c>
      <c r="F131" s="20" t="n"/>
      <c r="G131" s="21" t="n"/>
      <c r="H131" s="21">
        <f>IF(G131="","",G131*0.1)</f>
        <v/>
      </c>
      <c r="I131" s="21">
        <f>IF(G131="","",G131+H131)</f>
        <v/>
      </c>
      <c r="J131" s="19" t="n"/>
      <c r="K131" s="19">
        <f>IF(J131="","",EOMONTH(J131,1))</f>
        <v/>
      </c>
      <c r="L131" s="19" t="n"/>
      <c r="M131" s="21" t="n"/>
      <c r="N131" s="18">
        <f>IF(C131="","",IF(L131&lt;&gt;"","支払済","未払"))</f>
        <v/>
      </c>
    </row>
    <row r="132">
      <c r="A132" s="14">
        <f>IF(C132&lt;&gt;"",ROW()-1,"")</f>
        <v/>
      </c>
      <c r="B132" s="15" t="n"/>
      <c r="C132" s="16" t="n"/>
      <c r="D132" s="14">
        <f>IF(C132="","",IFERROR(VLOOKUP(C132,マスター!A:B,2,0),""))</f>
        <v/>
      </c>
      <c r="E132" s="14">
        <f>IF(C132="","",IFERROR(VLOOKUP(C132,マスター!A:C,3,0),""))</f>
        <v/>
      </c>
      <c r="F132" s="16" t="n"/>
      <c r="G132" s="17" t="n"/>
      <c r="H132" s="17">
        <f>IF(G132="","",G132*0.1)</f>
        <v/>
      </c>
      <c r="I132" s="17">
        <f>IF(G132="","",G132+H132)</f>
        <v/>
      </c>
      <c r="J132" s="15" t="n"/>
      <c r="K132" s="15">
        <f>IF(J132="","",EOMONTH(J132,1))</f>
        <v/>
      </c>
      <c r="L132" s="15" t="n"/>
      <c r="M132" s="17" t="n"/>
      <c r="N132" s="14">
        <f>IF(C132="","",IF(L132&lt;&gt;"","支払済","未払"))</f>
        <v/>
      </c>
    </row>
    <row r="133">
      <c r="A133" s="18">
        <f>IF(C133&lt;&gt;"",ROW()-1,"")</f>
        <v/>
      </c>
      <c r="B133" s="19" t="n"/>
      <c r="C133" s="20" t="n"/>
      <c r="D133" s="18">
        <f>IF(C133="","",IFERROR(VLOOKUP(C133,マスター!A:B,2,0),""))</f>
        <v/>
      </c>
      <c r="E133" s="18">
        <f>IF(C133="","",IFERROR(VLOOKUP(C133,マスター!A:C,3,0),""))</f>
        <v/>
      </c>
      <c r="F133" s="20" t="n"/>
      <c r="G133" s="21" t="n"/>
      <c r="H133" s="21">
        <f>IF(G133="","",G133*0.1)</f>
        <v/>
      </c>
      <c r="I133" s="21">
        <f>IF(G133="","",G133+H133)</f>
        <v/>
      </c>
      <c r="J133" s="19" t="n"/>
      <c r="K133" s="19">
        <f>IF(J133="","",EOMONTH(J133,1))</f>
        <v/>
      </c>
      <c r="L133" s="19" t="n"/>
      <c r="M133" s="21" t="n"/>
      <c r="N133" s="18">
        <f>IF(C133="","",IF(L133&lt;&gt;"","支払済","未払"))</f>
        <v/>
      </c>
    </row>
    <row r="134">
      <c r="A134" s="14">
        <f>IF(C134&lt;&gt;"",ROW()-1,"")</f>
        <v/>
      </c>
      <c r="B134" s="15" t="n"/>
      <c r="C134" s="16" t="n"/>
      <c r="D134" s="14">
        <f>IF(C134="","",IFERROR(VLOOKUP(C134,マスター!A:B,2,0),""))</f>
        <v/>
      </c>
      <c r="E134" s="14">
        <f>IF(C134="","",IFERROR(VLOOKUP(C134,マスター!A:C,3,0),""))</f>
        <v/>
      </c>
      <c r="F134" s="16" t="n"/>
      <c r="G134" s="17" t="n"/>
      <c r="H134" s="17">
        <f>IF(G134="","",G134*0.1)</f>
        <v/>
      </c>
      <c r="I134" s="17">
        <f>IF(G134="","",G134+H134)</f>
        <v/>
      </c>
      <c r="J134" s="15" t="n"/>
      <c r="K134" s="15">
        <f>IF(J134="","",EOMONTH(J134,1))</f>
        <v/>
      </c>
      <c r="L134" s="15" t="n"/>
      <c r="M134" s="17" t="n"/>
      <c r="N134" s="14">
        <f>IF(C134="","",IF(L134&lt;&gt;"","支払済","未払"))</f>
        <v/>
      </c>
    </row>
    <row r="135">
      <c r="A135" s="18">
        <f>IF(C135&lt;&gt;"",ROW()-1,"")</f>
        <v/>
      </c>
      <c r="B135" s="19" t="n"/>
      <c r="C135" s="20" t="n"/>
      <c r="D135" s="18">
        <f>IF(C135="","",IFERROR(VLOOKUP(C135,マスター!A:B,2,0),""))</f>
        <v/>
      </c>
      <c r="E135" s="18">
        <f>IF(C135="","",IFERROR(VLOOKUP(C135,マスター!A:C,3,0),""))</f>
        <v/>
      </c>
      <c r="F135" s="20" t="n"/>
      <c r="G135" s="21" t="n"/>
      <c r="H135" s="21">
        <f>IF(G135="","",G135*0.1)</f>
        <v/>
      </c>
      <c r="I135" s="21">
        <f>IF(G135="","",G135+H135)</f>
        <v/>
      </c>
      <c r="J135" s="19" t="n"/>
      <c r="K135" s="19">
        <f>IF(J135="","",EOMONTH(J135,1))</f>
        <v/>
      </c>
      <c r="L135" s="19" t="n"/>
      <c r="M135" s="21" t="n"/>
      <c r="N135" s="18">
        <f>IF(C135="","",IF(L135&lt;&gt;"","支払済","未払"))</f>
        <v/>
      </c>
    </row>
    <row r="136">
      <c r="A136" s="14">
        <f>IF(C136&lt;&gt;"",ROW()-1,"")</f>
        <v/>
      </c>
      <c r="B136" s="15" t="n"/>
      <c r="C136" s="16" t="n"/>
      <c r="D136" s="14">
        <f>IF(C136="","",IFERROR(VLOOKUP(C136,マスター!A:B,2,0),""))</f>
        <v/>
      </c>
      <c r="E136" s="14">
        <f>IF(C136="","",IFERROR(VLOOKUP(C136,マスター!A:C,3,0),""))</f>
        <v/>
      </c>
      <c r="F136" s="16" t="n"/>
      <c r="G136" s="17" t="n"/>
      <c r="H136" s="17">
        <f>IF(G136="","",G136*0.1)</f>
        <v/>
      </c>
      <c r="I136" s="17">
        <f>IF(G136="","",G136+H136)</f>
        <v/>
      </c>
      <c r="J136" s="15" t="n"/>
      <c r="K136" s="15">
        <f>IF(J136="","",EOMONTH(J136,1))</f>
        <v/>
      </c>
      <c r="L136" s="15" t="n"/>
      <c r="M136" s="17" t="n"/>
      <c r="N136" s="14">
        <f>IF(C136="","",IF(L136&lt;&gt;"","支払済","未払"))</f>
        <v/>
      </c>
    </row>
    <row r="137">
      <c r="A137" s="18">
        <f>IF(C137&lt;&gt;"",ROW()-1,"")</f>
        <v/>
      </c>
      <c r="B137" s="19" t="n"/>
      <c r="C137" s="20" t="n"/>
      <c r="D137" s="18">
        <f>IF(C137="","",IFERROR(VLOOKUP(C137,マスター!A:B,2,0),""))</f>
        <v/>
      </c>
      <c r="E137" s="18">
        <f>IF(C137="","",IFERROR(VLOOKUP(C137,マスター!A:C,3,0),""))</f>
        <v/>
      </c>
      <c r="F137" s="20" t="n"/>
      <c r="G137" s="21" t="n"/>
      <c r="H137" s="21">
        <f>IF(G137="","",G137*0.1)</f>
        <v/>
      </c>
      <c r="I137" s="21">
        <f>IF(G137="","",G137+H137)</f>
        <v/>
      </c>
      <c r="J137" s="19" t="n"/>
      <c r="K137" s="19">
        <f>IF(J137="","",EOMONTH(J137,1))</f>
        <v/>
      </c>
      <c r="L137" s="19" t="n"/>
      <c r="M137" s="21" t="n"/>
      <c r="N137" s="18">
        <f>IF(C137="","",IF(L137&lt;&gt;"","支払済","未払"))</f>
        <v/>
      </c>
    </row>
    <row r="138">
      <c r="A138" s="14">
        <f>IF(C138&lt;&gt;"",ROW()-1,"")</f>
        <v/>
      </c>
      <c r="B138" s="15" t="n"/>
      <c r="C138" s="16" t="n"/>
      <c r="D138" s="14">
        <f>IF(C138="","",IFERROR(VLOOKUP(C138,マスター!A:B,2,0),""))</f>
        <v/>
      </c>
      <c r="E138" s="14">
        <f>IF(C138="","",IFERROR(VLOOKUP(C138,マスター!A:C,3,0),""))</f>
        <v/>
      </c>
      <c r="F138" s="16" t="n"/>
      <c r="G138" s="17" t="n"/>
      <c r="H138" s="17">
        <f>IF(G138="","",G138*0.1)</f>
        <v/>
      </c>
      <c r="I138" s="17">
        <f>IF(G138="","",G138+H138)</f>
        <v/>
      </c>
      <c r="J138" s="15" t="n"/>
      <c r="K138" s="15">
        <f>IF(J138="","",EOMONTH(J138,1))</f>
        <v/>
      </c>
      <c r="L138" s="15" t="n"/>
      <c r="M138" s="17" t="n"/>
      <c r="N138" s="14">
        <f>IF(C138="","",IF(L138&lt;&gt;"","支払済","未払"))</f>
        <v/>
      </c>
    </row>
    <row r="139">
      <c r="A139" s="18">
        <f>IF(C139&lt;&gt;"",ROW()-1,"")</f>
        <v/>
      </c>
      <c r="B139" s="19" t="n"/>
      <c r="C139" s="20" t="n"/>
      <c r="D139" s="18">
        <f>IF(C139="","",IFERROR(VLOOKUP(C139,マスター!A:B,2,0),""))</f>
        <v/>
      </c>
      <c r="E139" s="18">
        <f>IF(C139="","",IFERROR(VLOOKUP(C139,マスター!A:C,3,0),""))</f>
        <v/>
      </c>
      <c r="F139" s="20" t="n"/>
      <c r="G139" s="21" t="n"/>
      <c r="H139" s="21">
        <f>IF(G139="","",G139*0.1)</f>
        <v/>
      </c>
      <c r="I139" s="21">
        <f>IF(G139="","",G139+H139)</f>
        <v/>
      </c>
      <c r="J139" s="19" t="n"/>
      <c r="K139" s="19">
        <f>IF(J139="","",EOMONTH(J139,1))</f>
        <v/>
      </c>
      <c r="L139" s="19" t="n"/>
      <c r="M139" s="21" t="n"/>
      <c r="N139" s="18">
        <f>IF(C139="","",IF(L139&lt;&gt;"","支払済","未払"))</f>
        <v/>
      </c>
    </row>
    <row r="140">
      <c r="A140" s="14">
        <f>IF(C140&lt;&gt;"",ROW()-1,"")</f>
        <v/>
      </c>
      <c r="B140" s="15" t="n"/>
      <c r="C140" s="16" t="n"/>
      <c r="D140" s="14">
        <f>IF(C140="","",IFERROR(VLOOKUP(C140,マスター!A:B,2,0),""))</f>
        <v/>
      </c>
      <c r="E140" s="14">
        <f>IF(C140="","",IFERROR(VLOOKUP(C140,マスター!A:C,3,0),""))</f>
        <v/>
      </c>
      <c r="F140" s="16" t="n"/>
      <c r="G140" s="17" t="n"/>
      <c r="H140" s="17">
        <f>IF(G140="","",G140*0.1)</f>
        <v/>
      </c>
      <c r="I140" s="17">
        <f>IF(G140="","",G140+H140)</f>
        <v/>
      </c>
      <c r="J140" s="15" t="n"/>
      <c r="K140" s="15">
        <f>IF(J140="","",EOMONTH(J140,1))</f>
        <v/>
      </c>
      <c r="L140" s="15" t="n"/>
      <c r="M140" s="17" t="n"/>
      <c r="N140" s="14">
        <f>IF(C140="","",IF(L140&lt;&gt;"","支払済","未払"))</f>
        <v/>
      </c>
    </row>
    <row r="141">
      <c r="A141" s="18">
        <f>IF(C141&lt;&gt;"",ROW()-1,"")</f>
        <v/>
      </c>
      <c r="B141" s="19" t="n"/>
      <c r="C141" s="20" t="n"/>
      <c r="D141" s="18">
        <f>IF(C141="","",IFERROR(VLOOKUP(C141,マスター!A:B,2,0),""))</f>
        <v/>
      </c>
      <c r="E141" s="18">
        <f>IF(C141="","",IFERROR(VLOOKUP(C141,マスター!A:C,3,0),""))</f>
        <v/>
      </c>
      <c r="F141" s="20" t="n"/>
      <c r="G141" s="21" t="n"/>
      <c r="H141" s="21">
        <f>IF(G141="","",G141*0.1)</f>
        <v/>
      </c>
      <c r="I141" s="21">
        <f>IF(G141="","",G141+H141)</f>
        <v/>
      </c>
      <c r="J141" s="19" t="n"/>
      <c r="K141" s="19">
        <f>IF(J141="","",EOMONTH(J141,1))</f>
        <v/>
      </c>
      <c r="L141" s="19" t="n"/>
      <c r="M141" s="21" t="n"/>
      <c r="N141" s="18">
        <f>IF(C141="","",IF(L141&lt;&gt;"","支払済","未払"))</f>
        <v/>
      </c>
    </row>
    <row r="142">
      <c r="A142" s="14">
        <f>IF(C142&lt;&gt;"",ROW()-1,"")</f>
        <v/>
      </c>
      <c r="B142" s="15" t="n"/>
      <c r="C142" s="16" t="n"/>
      <c r="D142" s="14">
        <f>IF(C142="","",IFERROR(VLOOKUP(C142,マスター!A:B,2,0),""))</f>
        <v/>
      </c>
      <c r="E142" s="14">
        <f>IF(C142="","",IFERROR(VLOOKUP(C142,マスター!A:C,3,0),""))</f>
        <v/>
      </c>
      <c r="F142" s="16" t="n"/>
      <c r="G142" s="17" t="n"/>
      <c r="H142" s="17">
        <f>IF(G142="","",G142*0.1)</f>
        <v/>
      </c>
      <c r="I142" s="17">
        <f>IF(G142="","",G142+H142)</f>
        <v/>
      </c>
      <c r="J142" s="15" t="n"/>
      <c r="K142" s="15">
        <f>IF(J142="","",EOMONTH(J142,1))</f>
        <v/>
      </c>
      <c r="L142" s="15" t="n"/>
      <c r="M142" s="17" t="n"/>
      <c r="N142" s="14">
        <f>IF(C142="","",IF(L142&lt;&gt;"","支払済","未払"))</f>
        <v/>
      </c>
    </row>
    <row r="143">
      <c r="A143" s="18">
        <f>IF(C143&lt;&gt;"",ROW()-1,"")</f>
        <v/>
      </c>
      <c r="B143" s="19" t="n"/>
      <c r="C143" s="20" t="n"/>
      <c r="D143" s="18">
        <f>IF(C143="","",IFERROR(VLOOKUP(C143,マスター!A:B,2,0),""))</f>
        <v/>
      </c>
      <c r="E143" s="18">
        <f>IF(C143="","",IFERROR(VLOOKUP(C143,マスター!A:C,3,0),""))</f>
        <v/>
      </c>
      <c r="F143" s="20" t="n"/>
      <c r="G143" s="21" t="n"/>
      <c r="H143" s="21">
        <f>IF(G143="","",G143*0.1)</f>
        <v/>
      </c>
      <c r="I143" s="21">
        <f>IF(G143="","",G143+H143)</f>
        <v/>
      </c>
      <c r="J143" s="19" t="n"/>
      <c r="K143" s="19">
        <f>IF(J143="","",EOMONTH(J143,1))</f>
        <v/>
      </c>
      <c r="L143" s="19" t="n"/>
      <c r="M143" s="21" t="n"/>
      <c r="N143" s="18">
        <f>IF(C143="","",IF(L143&lt;&gt;"","支払済","未払"))</f>
        <v/>
      </c>
    </row>
    <row r="144">
      <c r="A144" s="14">
        <f>IF(C144&lt;&gt;"",ROW()-1,"")</f>
        <v/>
      </c>
      <c r="B144" s="15" t="n"/>
      <c r="C144" s="16" t="n"/>
      <c r="D144" s="14">
        <f>IF(C144="","",IFERROR(VLOOKUP(C144,マスター!A:B,2,0),""))</f>
        <v/>
      </c>
      <c r="E144" s="14">
        <f>IF(C144="","",IFERROR(VLOOKUP(C144,マスター!A:C,3,0),""))</f>
        <v/>
      </c>
      <c r="F144" s="16" t="n"/>
      <c r="G144" s="17" t="n"/>
      <c r="H144" s="17">
        <f>IF(G144="","",G144*0.1)</f>
        <v/>
      </c>
      <c r="I144" s="17">
        <f>IF(G144="","",G144+H144)</f>
        <v/>
      </c>
      <c r="J144" s="15" t="n"/>
      <c r="K144" s="15">
        <f>IF(J144="","",EOMONTH(J144,1))</f>
        <v/>
      </c>
      <c r="L144" s="15" t="n"/>
      <c r="M144" s="17" t="n"/>
      <c r="N144" s="14">
        <f>IF(C144="","",IF(L144&lt;&gt;"","支払済","未払"))</f>
        <v/>
      </c>
    </row>
    <row r="145">
      <c r="A145" s="18">
        <f>IF(C145&lt;&gt;"",ROW()-1,"")</f>
        <v/>
      </c>
      <c r="B145" s="19" t="n"/>
      <c r="C145" s="20" t="n"/>
      <c r="D145" s="18">
        <f>IF(C145="","",IFERROR(VLOOKUP(C145,マスター!A:B,2,0),""))</f>
        <v/>
      </c>
      <c r="E145" s="18">
        <f>IF(C145="","",IFERROR(VLOOKUP(C145,マスター!A:C,3,0),""))</f>
        <v/>
      </c>
      <c r="F145" s="20" t="n"/>
      <c r="G145" s="21" t="n"/>
      <c r="H145" s="21">
        <f>IF(G145="","",G145*0.1)</f>
        <v/>
      </c>
      <c r="I145" s="21">
        <f>IF(G145="","",G145+H145)</f>
        <v/>
      </c>
      <c r="J145" s="19" t="n"/>
      <c r="K145" s="19">
        <f>IF(J145="","",EOMONTH(J145,1))</f>
        <v/>
      </c>
      <c r="L145" s="19" t="n"/>
      <c r="M145" s="21" t="n"/>
      <c r="N145" s="18">
        <f>IF(C145="","",IF(L145&lt;&gt;"","支払済","未払"))</f>
        <v/>
      </c>
    </row>
    <row r="146">
      <c r="A146" s="14">
        <f>IF(C146&lt;&gt;"",ROW()-1,"")</f>
        <v/>
      </c>
      <c r="B146" s="15" t="n"/>
      <c r="C146" s="16" t="n"/>
      <c r="D146" s="14">
        <f>IF(C146="","",IFERROR(VLOOKUP(C146,マスター!A:B,2,0),""))</f>
        <v/>
      </c>
      <c r="E146" s="14">
        <f>IF(C146="","",IFERROR(VLOOKUP(C146,マスター!A:C,3,0),""))</f>
        <v/>
      </c>
      <c r="F146" s="16" t="n"/>
      <c r="G146" s="17" t="n"/>
      <c r="H146" s="17">
        <f>IF(G146="","",G146*0.1)</f>
        <v/>
      </c>
      <c r="I146" s="17">
        <f>IF(G146="","",G146+H146)</f>
        <v/>
      </c>
      <c r="J146" s="15" t="n"/>
      <c r="K146" s="15">
        <f>IF(J146="","",EOMONTH(J146,1))</f>
        <v/>
      </c>
      <c r="L146" s="15" t="n"/>
      <c r="M146" s="17" t="n"/>
      <c r="N146" s="14">
        <f>IF(C146="","",IF(L146&lt;&gt;"","支払済","未払"))</f>
        <v/>
      </c>
    </row>
    <row r="147">
      <c r="A147" s="18">
        <f>IF(C147&lt;&gt;"",ROW()-1,"")</f>
        <v/>
      </c>
      <c r="B147" s="19" t="n"/>
      <c r="C147" s="20" t="n"/>
      <c r="D147" s="18">
        <f>IF(C147="","",IFERROR(VLOOKUP(C147,マスター!A:B,2,0),""))</f>
        <v/>
      </c>
      <c r="E147" s="18">
        <f>IF(C147="","",IFERROR(VLOOKUP(C147,マスター!A:C,3,0),""))</f>
        <v/>
      </c>
      <c r="F147" s="20" t="n"/>
      <c r="G147" s="21" t="n"/>
      <c r="H147" s="21">
        <f>IF(G147="","",G147*0.1)</f>
        <v/>
      </c>
      <c r="I147" s="21">
        <f>IF(G147="","",G147+H147)</f>
        <v/>
      </c>
      <c r="J147" s="19" t="n"/>
      <c r="K147" s="19">
        <f>IF(J147="","",EOMONTH(J147,1))</f>
        <v/>
      </c>
      <c r="L147" s="19" t="n"/>
      <c r="M147" s="21" t="n"/>
      <c r="N147" s="18">
        <f>IF(C147="","",IF(L147&lt;&gt;"","支払済","未払"))</f>
        <v/>
      </c>
    </row>
    <row r="148">
      <c r="A148" s="14">
        <f>IF(C148&lt;&gt;"",ROW()-1,"")</f>
        <v/>
      </c>
      <c r="B148" s="15" t="n"/>
      <c r="C148" s="16" t="n"/>
      <c r="D148" s="14">
        <f>IF(C148="","",IFERROR(VLOOKUP(C148,マスター!A:B,2,0),""))</f>
        <v/>
      </c>
      <c r="E148" s="14">
        <f>IF(C148="","",IFERROR(VLOOKUP(C148,マスター!A:C,3,0),""))</f>
        <v/>
      </c>
      <c r="F148" s="16" t="n"/>
      <c r="G148" s="17" t="n"/>
      <c r="H148" s="17">
        <f>IF(G148="","",G148*0.1)</f>
        <v/>
      </c>
      <c r="I148" s="17">
        <f>IF(G148="","",G148+H148)</f>
        <v/>
      </c>
      <c r="J148" s="15" t="n"/>
      <c r="K148" s="15">
        <f>IF(J148="","",EOMONTH(J148,1))</f>
        <v/>
      </c>
      <c r="L148" s="15" t="n"/>
      <c r="M148" s="17" t="n"/>
      <c r="N148" s="14">
        <f>IF(C148="","",IF(L148&lt;&gt;"","支払済","未払"))</f>
        <v/>
      </c>
    </row>
    <row r="149">
      <c r="A149" s="18">
        <f>IF(C149&lt;&gt;"",ROW()-1,"")</f>
        <v/>
      </c>
      <c r="B149" s="19" t="n"/>
      <c r="C149" s="20" t="n"/>
      <c r="D149" s="18">
        <f>IF(C149="","",IFERROR(VLOOKUP(C149,マスター!A:B,2,0),""))</f>
        <v/>
      </c>
      <c r="E149" s="18">
        <f>IF(C149="","",IFERROR(VLOOKUP(C149,マスター!A:C,3,0),""))</f>
        <v/>
      </c>
      <c r="F149" s="20" t="n"/>
      <c r="G149" s="21" t="n"/>
      <c r="H149" s="21">
        <f>IF(G149="","",G149*0.1)</f>
        <v/>
      </c>
      <c r="I149" s="21">
        <f>IF(G149="","",G149+H149)</f>
        <v/>
      </c>
      <c r="J149" s="19" t="n"/>
      <c r="K149" s="19">
        <f>IF(J149="","",EOMONTH(J149,1))</f>
        <v/>
      </c>
      <c r="L149" s="19" t="n"/>
      <c r="M149" s="21" t="n"/>
      <c r="N149" s="18">
        <f>IF(C149="","",IF(L149&lt;&gt;"","支払済","未払"))</f>
        <v/>
      </c>
    </row>
    <row r="150">
      <c r="A150" s="14">
        <f>IF(C150&lt;&gt;"",ROW()-1,"")</f>
        <v/>
      </c>
      <c r="B150" s="15" t="n"/>
      <c r="C150" s="16" t="n"/>
      <c r="D150" s="14">
        <f>IF(C150="","",IFERROR(VLOOKUP(C150,マスター!A:B,2,0),""))</f>
        <v/>
      </c>
      <c r="E150" s="14">
        <f>IF(C150="","",IFERROR(VLOOKUP(C150,マスター!A:C,3,0),""))</f>
        <v/>
      </c>
      <c r="F150" s="16" t="n"/>
      <c r="G150" s="17" t="n"/>
      <c r="H150" s="17">
        <f>IF(G150="","",G150*0.1)</f>
        <v/>
      </c>
      <c r="I150" s="17">
        <f>IF(G150="","",G150+H150)</f>
        <v/>
      </c>
      <c r="J150" s="15" t="n"/>
      <c r="K150" s="15">
        <f>IF(J150="","",EOMONTH(J150,1))</f>
        <v/>
      </c>
      <c r="L150" s="15" t="n"/>
      <c r="M150" s="17" t="n"/>
      <c r="N150" s="14">
        <f>IF(C150="","",IF(L150&lt;&gt;"","支払済","未払"))</f>
        <v/>
      </c>
    </row>
    <row r="151">
      <c r="A151" s="18">
        <f>IF(C151&lt;&gt;"",ROW()-1,"")</f>
        <v/>
      </c>
      <c r="B151" s="19" t="n"/>
      <c r="C151" s="20" t="n"/>
      <c r="D151" s="18">
        <f>IF(C151="","",IFERROR(VLOOKUP(C151,マスター!A:B,2,0),""))</f>
        <v/>
      </c>
      <c r="E151" s="18">
        <f>IF(C151="","",IFERROR(VLOOKUP(C151,マスター!A:C,3,0),""))</f>
        <v/>
      </c>
      <c r="F151" s="20" t="n"/>
      <c r="G151" s="21" t="n"/>
      <c r="H151" s="21">
        <f>IF(G151="","",G151*0.1)</f>
        <v/>
      </c>
      <c r="I151" s="21">
        <f>IF(G151="","",G151+H151)</f>
        <v/>
      </c>
      <c r="J151" s="19" t="n"/>
      <c r="K151" s="19">
        <f>IF(J151="","",EOMONTH(J151,1))</f>
        <v/>
      </c>
      <c r="L151" s="19" t="n"/>
      <c r="M151" s="21" t="n"/>
      <c r="N151" s="18">
        <f>IF(C151="","",IF(L151&lt;&gt;"","支払済","未払"))</f>
        <v/>
      </c>
    </row>
    <row r="152">
      <c r="A152" s="14">
        <f>IF(C152&lt;&gt;"",ROW()-1,"")</f>
        <v/>
      </c>
      <c r="B152" s="15" t="n"/>
      <c r="C152" s="16" t="n"/>
      <c r="D152" s="14">
        <f>IF(C152="","",IFERROR(VLOOKUP(C152,マスター!A:B,2,0),""))</f>
        <v/>
      </c>
      <c r="E152" s="14">
        <f>IF(C152="","",IFERROR(VLOOKUP(C152,マスター!A:C,3,0),""))</f>
        <v/>
      </c>
      <c r="F152" s="16" t="n"/>
      <c r="G152" s="17" t="n"/>
      <c r="H152" s="17">
        <f>IF(G152="","",G152*0.1)</f>
        <v/>
      </c>
      <c r="I152" s="17">
        <f>IF(G152="","",G152+H152)</f>
        <v/>
      </c>
      <c r="J152" s="15" t="n"/>
      <c r="K152" s="15">
        <f>IF(J152="","",EOMONTH(J152,1))</f>
        <v/>
      </c>
      <c r="L152" s="15" t="n"/>
      <c r="M152" s="17" t="n"/>
      <c r="N152" s="14">
        <f>IF(C152="","",IF(L152&lt;&gt;"","支払済","未払"))</f>
        <v/>
      </c>
    </row>
    <row r="153">
      <c r="A153" s="18">
        <f>IF(C153&lt;&gt;"",ROW()-1,"")</f>
        <v/>
      </c>
      <c r="B153" s="19" t="n"/>
      <c r="C153" s="20" t="n"/>
      <c r="D153" s="18">
        <f>IF(C153="","",IFERROR(VLOOKUP(C153,マスター!A:B,2,0),""))</f>
        <v/>
      </c>
      <c r="E153" s="18">
        <f>IF(C153="","",IFERROR(VLOOKUP(C153,マスター!A:C,3,0),""))</f>
        <v/>
      </c>
      <c r="F153" s="20" t="n"/>
      <c r="G153" s="21" t="n"/>
      <c r="H153" s="21">
        <f>IF(G153="","",G153*0.1)</f>
        <v/>
      </c>
      <c r="I153" s="21">
        <f>IF(G153="","",G153+H153)</f>
        <v/>
      </c>
      <c r="J153" s="19" t="n"/>
      <c r="K153" s="19">
        <f>IF(J153="","",EOMONTH(J153,1))</f>
        <v/>
      </c>
      <c r="L153" s="19" t="n"/>
      <c r="M153" s="21" t="n"/>
      <c r="N153" s="18">
        <f>IF(C153="","",IF(L153&lt;&gt;"","支払済","未払"))</f>
        <v/>
      </c>
    </row>
    <row r="154">
      <c r="A154" s="14">
        <f>IF(C154&lt;&gt;"",ROW()-1,"")</f>
        <v/>
      </c>
      <c r="B154" s="15" t="n"/>
      <c r="C154" s="16" t="n"/>
      <c r="D154" s="14">
        <f>IF(C154="","",IFERROR(VLOOKUP(C154,マスター!A:B,2,0),""))</f>
        <v/>
      </c>
      <c r="E154" s="14">
        <f>IF(C154="","",IFERROR(VLOOKUP(C154,マスター!A:C,3,0),""))</f>
        <v/>
      </c>
      <c r="F154" s="16" t="n"/>
      <c r="G154" s="17" t="n"/>
      <c r="H154" s="17">
        <f>IF(G154="","",G154*0.1)</f>
        <v/>
      </c>
      <c r="I154" s="17">
        <f>IF(G154="","",G154+H154)</f>
        <v/>
      </c>
      <c r="J154" s="15" t="n"/>
      <c r="K154" s="15">
        <f>IF(J154="","",EOMONTH(J154,1))</f>
        <v/>
      </c>
      <c r="L154" s="15" t="n"/>
      <c r="M154" s="17" t="n"/>
      <c r="N154" s="14">
        <f>IF(C154="","",IF(L154&lt;&gt;"","支払済","未払"))</f>
        <v/>
      </c>
    </row>
    <row r="155">
      <c r="A155" s="18">
        <f>IF(C155&lt;&gt;"",ROW()-1,"")</f>
        <v/>
      </c>
      <c r="B155" s="19" t="n"/>
      <c r="C155" s="20" t="n"/>
      <c r="D155" s="18">
        <f>IF(C155="","",IFERROR(VLOOKUP(C155,マスター!A:B,2,0),""))</f>
        <v/>
      </c>
      <c r="E155" s="18">
        <f>IF(C155="","",IFERROR(VLOOKUP(C155,マスター!A:C,3,0),""))</f>
        <v/>
      </c>
      <c r="F155" s="20" t="n"/>
      <c r="G155" s="21" t="n"/>
      <c r="H155" s="21">
        <f>IF(G155="","",G155*0.1)</f>
        <v/>
      </c>
      <c r="I155" s="21">
        <f>IF(G155="","",G155+H155)</f>
        <v/>
      </c>
      <c r="J155" s="19" t="n"/>
      <c r="K155" s="19">
        <f>IF(J155="","",EOMONTH(J155,1))</f>
        <v/>
      </c>
      <c r="L155" s="19" t="n"/>
      <c r="M155" s="21" t="n"/>
      <c r="N155" s="18">
        <f>IF(C155="","",IF(L155&lt;&gt;"","支払済","未払"))</f>
        <v/>
      </c>
    </row>
    <row r="156">
      <c r="A156" s="14">
        <f>IF(C156&lt;&gt;"",ROW()-1,"")</f>
        <v/>
      </c>
      <c r="B156" s="15" t="n"/>
      <c r="C156" s="16" t="n"/>
      <c r="D156" s="14">
        <f>IF(C156="","",IFERROR(VLOOKUP(C156,マスター!A:B,2,0),""))</f>
        <v/>
      </c>
      <c r="E156" s="14">
        <f>IF(C156="","",IFERROR(VLOOKUP(C156,マスター!A:C,3,0),""))</f>
        <v/>
      </c>
      <c r="F156" s="16" t="n"/>
      <c r="G156" s="17" t="n"/>
      <c r="H156" s="17">
        <f>IF(G156="","",G156*0.1)</f>
        <v/>
      </c>
      <c r="I156" s="17">
        <f>IF(G156="","",G156+H156)</f>
        <v/>
      </c>
      <c r="J156" s="15" t="n"/>
      <c r="K156" s="15">
        <f>IF(J156="","",EOMONTH(J156,1))</f>
        <v/>
      </c>
      <c r="L156" s="15" t="n"/>
      <c r="M156" s="17" t="n"/>
      <c r="N156" s="14">
        <f>IF(C156="","",IF(L156&lt;&gt;"","支払済","未払"))</f>
        <v/>
      </c>
    </row>
    <row r="157">
      <c r="A157" s="18">
        <f>IF(C157&lt;&gt;"",ROW()-1,"")</f>
        <v/>
      </c>
      <c r="B157" s="19" t="n"/>
      <c r="C157" s="20" t="n"/>
      <c r="D157" s="18">
        <f>IF(C157="","",IFERROR(VLOOKUP(C157,マスター!A:B,2,0),""))</f>
        <v/>
      </c>
      <c r="E157" s="18">
        <f>IF(C157="","",IFERROR(VLOOKUP(C157,マスター!A:C,3,0),""))</f>
        <v/>
      </c>
      <c r="F157" s="20" t="n"/>
      <c r="G157" s="21" t="n"/>
      <c r="H157" s="21">
        <f>IF(G157="","",G157*0.1)</f>
        <v/>
      </c>
      <c r="I157" s="21">
        <f>IF(G157="","",G157+H157)</f>
        <v/>
      </c>
      <c r="J157" s="19" t="n"/>
      <c r="K157" s="19">
        <f>IF(J157="","",EOMONTH(J157,1))</f>
        <v/>
      </c>
      <c r="L157" s="19" t="n"/>
      <c r="M157" s="21" t="n"/>
      <c r="N157" s="18">
        <f>IF(C157="","",IF(L157&lt;&gt;"","支払済","未払"))</f>
        <v/>
      </c>
    </row>
    <row r="158">
      <c r="A158" s="14">
        <f>IF(C158&lt;&gt;"",ROW()-1,"")</f>
        <v/>
      </c>
      <c r="B158" s="15" t="n"/>
      <c r="C158" s="16" t="n"/>
      <c r="D158" s="14">
        <f>IF(C158="","",IFERROR(VLOOKUP(C158,マスター!A:B,2,0),""))</f>
        <v/>
      </c>
      <c r="E158" s="14">
        <f>IF(C158="","",IFERROR(VLOOKUP(C158,マスター!A:C,3,0),""))</f>
        <v/>
      </c>
      <c r="F158" s="16" t="n"/>
      <c r="G158" s="17" t="n"/>
      <c r="H158" s="17">
        <f>IF(G158="","",G158*0.1)</f>
        <v/>
      </c>
      <c r="I158" s="17">
        <f>IF(G158="","",G158+H158)</f>
        <v/>
      </c>
      <c r="J158" s="15" t="n"/>
      <c r="K158" s="15">
        <f>IF(J158="","",EOMONTH(J158,1))</f>
        <v/>
      </c>
      <c r="L158" s="15" t="n"/>
      <c r="M158" s="17" t="n"/>
      <c r="N158" s="14">
        <f>IF(C158="","",IF(L158&lt;&gt;"","支払済","未払"))</f>
        <v/>
      </c>
    </row>
    <row r="159">
      <c r="A159" s="18">
        <f>IF(C159&lt;&gt;"",ROW()-1,"")</f>
        <v/>
      </c>
      <c r="B159" s="19" t="n"/>
      <c r="C159" s="20" t="n"/>
      <c r="D159" s="18">
        <f>IF(C159="","",IFERROR(VLOOKUP(C159,マスター!A:B,2,0),""))</f>
        <v/>
      </c>
      <c r="E159" s="18">
        <f>IF(C159="","",IFERROR(VLOOKUP(C159,マスター!A:C,3,0),""))</f>
        <v/>
      </c>
      <c r="F159" s="20" t="n"/>
      <c r="G159" s="21" t="n"/>
      <c r="H159" s="21">
        <f>IF(G159="","",G159*0.1)</f>
        <v/>
      </c>
      <c r="I159" s="21">
        <f>IF(G159="","",G159+H159)</f>
        <v/>
      </c>
      <c r="J159" s="19" t="n"/>
      <c r="K159" s="19">
        <f>IF(J159="","",EOMONTH(J159,1))</f>
        <v/>
      </c>
      <c r="L159" s="19" t="n"/>
      <c r="M159" s="21" t="n"/>
      <c r="N159" s="18">
        <f>IF(C159="","",IF(L159&lt;&gt;"","支払済","未払"))</f>
        <v/>
      </c>
    </row>
    <row r="160">
      <c r="A160" s="14">
        <f>IF(C160&lt;&gt;"",ROW()-1,"")</f>
        <v/>
      </c>
      <c r="B160" s="15" t="n"/>
      <c r="C160" s="16" t="n"/>
      <c r="D160" s="14">
        <f>IF(C160="","",IFERROR(VLOOKUP(C160,マスター!A:B,2,0),""))</f>
        <v/>
      </c>
      <c r="E160" s="14">
        <f>IF(C160="","",IFERROR(VLOOKUP(C160,マスター!A:C,3,0),""))</f>
        <v/>
      </c>
      <c r="F160" s="16" t="n"/>
      <c r="G160" s="17" t="n"/>
      <c r="H160" s="17">
        <f>IF(G160="","",G160*0.1)</f>
        <v/>
      </c>
      <c r="I160" s="17">
        <f>IF(G160="","",G160+H160)</f>
        <v/>
      </c>
      <c r="J160" s="15" t="n"/>
      <c r="K160" s="15">
        <f>IF(J160="","",EOMONTH(J160,1))</f>
        <v/>
      </c>
      <c r="L160" s="15" t="n"/>
      <c r="M160" s="17" t="n"/>
      <c r="N160" s="14">
        <f>IF(C160="","",IF(L160&lt;&gt;"","支払済","未払"))</f>
        <v/>
      </c>
    </row>
    <row r="161">
      <c r="A161" s="18">
        <f>IF(C161&lt;&gt;"",ROW()-1,"")</f>
        <v/>
      </c>
      <c r="B161" s="19" t="n"/>
      <c r="C161" s="20" t="n"/>
      <c r="D161" s="18">
        <f>IF(C161="","",IFERROR(VLOOKUP(C161,マスター!A:B,2,0),""))</f>
        <v/>
      </c>
      <c r="E161" s="18">
        <f>IF(C161="","",IFERROR(VLOOKUP(C161,マスター!A:C,3,0),""))</f>
        <v/>
      </c>
      <c r="F161" s="20" t="n"/>
      <c r="G161" s="21" t="n"/>
      <c r="H161" s="21">
        <f>IF(G161="","",G161*0.1)</f>
        <v/>
      </c>
      <c r="I161" s="21">
        <f>IF(G161="","",G161+H161)</f>
        <v/>
      </c>
      <c r="J161" s="19" t="n"/>
      <c r="K161" s="19">
        <f>IF(J161="","",EOMONTH(J161,1))</f>
        <v/>
      </c>
      <c r="L161" s="19" t="n"/>
      <c r="M161" s="21" t="n"/>
      <c r="N161" s="18">
        <f>IF(C161="","",IF(L161&lt;&gt;"","支払済","未払"))</f>
        <v/>
      </c>
    </row>
    <row r="162">
      <c r="A162" s="14">
        <f>IF(C162&lt;&gt;"",ROW()-1,"")</f>
        <v/>
      </c>
      <c r="B162" s="15" t="n"/>
      <c r="C162" s="16" t="n"/>
      <c r="D162" s="14">
        <f>IF(C162="","",IFERROR(VLOOKUP(C162,マスター!A:B,2,0),""))</f>
        <v/>
      </c>
      <c r="E162" s="14">
        <f>IF(C162="","",IFERROR(VLOOKUP(C162,マスター!A:C,3,0),""))</f>
        <v/>
      </c>
      <c r="F162" s="16" t="n"/>
      <c r="G162" s="17" t="n"/>
      <c r="H162" s="17">
        <f>IF(G162="","",G162*0.1)</f>
        <v/>
      </c>
      <c r="I162" s="17">
        <f>IF(G162="","",G162+H162)</f>
        <v/>
      </c>
      <c r="J162" s="15" t="n"/>
      <c r="K162" s="15">
        <f>IF(J162="","",EOMONTH(J162,1))</f>
        <v/>
      </c>
      <c r="L162" s="15" t="n"/>
      <c r="M162" s="17" t="n"/>
      <c r="N162" s="14">
        <f>IF(C162="","",IF(L162&lt;&gt;"","支払済","未払"))</f>
        <v/>
      </c>
    </row>
    <row r="163">
      <c r="A163" s="18">
        <f>IF(C163&lt;&gt;"",ROW()-1,"")</f>
        <v/>
      </c>
      <c r="B163" s="19" t="n"/>
      <c r="C163" s="20" t="n"/>
      <c r="D163" s="18">
        <f>IF(C163="","",IFERROR(VLOOKUP(C163,マスター!A:B,2,0),""))</f>
        <v/>
      </c>
      <c r="E163" s="18">
        <f>IF(C163="","",IFERROR(VLOOKUP(C163,マスター!A:C,3,0),""))</f>
        <v/>
      </c>
      <c r="F163" s="20" t="n"/>
      <c r="G163" s="21" t="n"/>
      <c r="H163" s="21">
        <f>IF(G163="","",G163*0.1)</f>
        <v/>
      </c>
      <c r="I163" s="21">
        <f>IF(G163="","",G163+H163)</f>
        <v/>
      </c>
      <c r="J163" s="19" t="n"/>
      <c r="K163" s="19">
        <f>IF(J163="","",EOMONTH(J163,1))</f>
        <v/>
      </c>
      <c r="L163" s="19" t="n"/>
      <c r="M163" s="21" t="n"/>
      <c r="N163" s="18">
        <f>IF(C163="","",IF(L163&lt;&gt;"","支払済","未払"))</f>
        <v/>
      </c>
    </row>
    <row r="164">
      <c r="A164" s="14">
        <f>IF(C164&lt;&gt;"",ROW()-1,"")</f>
        <v/>
      </c>
      <c r="B164" s="15" t="n"/>
      <c r="C164" s="16" t="n"/>
      <c r="D164" s="14">
        <f>IF(C164="","",IFERROR(VLOOKUP(C164,マスター!A:B,2,0),""))</f>
        <v/>
      </c>
      <c r="E164" s="14">
        <f>IF(C164="","",IFERROR(VLOOKUP(C164,マスター!A:C,3,0),""))</f>
        <v/>
      </c>
      <c r="F164" s="16" t="n"/>
      <c r="G164" s="17" t="n"/>
      <c r="H164" s="17">
        <f>IF(G164="","",G164*0.1)</f>
        <v/>
      </c>
      <c r="I164" s="17">
        <f>IF(G164="","",G164+H164)</f>
        <v/>
      </c>
      <c r="J164" s="15" t="n"/>
      <c r="K164" s="15">
        <f>IF(J164="","",EOMONTH(J164,1))</f>
        <v/>
      </c>
      <c r="L164" s="15" t="n"/>
      <c r="M164" s="17" t="n"/>
      <c r="N164" s="14">
        <f>IF(C164="","",IF(L164&lt;&gt;"","支払済","未払"))</f>
        <v/>
      </c>
    </row>
    <row r="165">
      <c r="A165" s="18">
        <f>IF(C165&lt;&gt;"",ROW()-1,"")</f>
        <v/>
      </c>
      <c r="B165" s="19" t="n"/>
      <c r="C165" s="20" t="n"/>
      <c r="D165" s="18">
        <f>IF(C165="","",IFERROR(VLOOKUP(C165,マスター!A:B,2,0),""))</f>
        <v/>
      </c>
      <c r="E165" s="18">
        <f>IF(C165="","",IFERROR(VLOOKUP(C165,マスター!A:C,3,0),""))</f>
        <v/>
      </c>
      <c r="F165" s="20" t="n"/>
      <c r="G165" s="21" t="n"/>
      <c r="H165" s="21">
        <f>IF(G165="","",G165*0.1)</f>
        <v/>
      </c>
      <c r="I165" s="21">
        <f>IF(G165="","",G165+H165)</f>
        <v/>
      </c>
      <c r="J165" s="19" t="n"/>
      <c r="K165" s="19">
        <f>IF(J165="","",EOMONTH(J165,1))</f>
        <v/>
      </c>
      <c r="L165" s="19" t="n"/>
      <c r="M165" s="21" t="n"/>
      <c r="N165" s="18">
        <f>IF(C165="","",IF(L165&lt;&gt;"","支払済","未払"))</f>
        <v/>
      </c>
    </row>
    <row r="166">
      <c r="A166" s="14">
        <f>IF(C166&lt;&gt;"",ROW()-1,"")</f>
        <v/>
      </c>
      <c r="B166" s="15" t="n"/>
      <c r="C166" s="16" t="n"/>
      <c r="D166" s="14">
        <f>IF(C166="","",IFERROR(VLOOKUP(C166,マスター!A:B,2,0),""))</f>
        <v/>
      </c>
      <c r="E166" s="14">
        <f>IF(C166="","",IFERROR(VLOOKUP(C166,マスター!A:C,3,0),""))</f>
        <v/>
      </c>
      <c r="F166" s="16" t="n"/>
      <c r="G166" s="17" t="n"/>
      <c r="H166" s="17">
        <f>IF(G166="","",G166*0.1)</f>
        <v/>
      </c>
      <c r="I166" s="17">
        <f>IF(G166="","",G166+H166)</f>
        <v/>
      </c>
      <c r="J166" s="15" t="n"/>
      <c r="K166" s="15">
        <f>IF(J166="","",EOMONTH(J166,1))</f>
        <v/>
      </c>
      <c r="L166" s="15" t="n"/>
      <c r="M166" s="17" t="n"/>
      <c r="N166" s="14">
        <f>IF(C166="","",IF(L166&lt;&gt;"","支払済","未払"))</f>
        <v/>
      </c>
    </row>
    <row r="167">
      <c r="A167" s="18">
        <f>IF(C167&lt;&gt;"",ROW()-1,"")</f>
        <v/>
      </c>
      <c r="B167" s="19" t="n"/>
      <c r="C167" s="20" t="n"/>
      <c r="D167" s="18">
        <f>IF(C167="","",IFERROR(VLOOKUP(C167,マスター!A:B,2,0),""))</f>
        <v/>
      </c>
      <c r="E167" s="18">
        <f>IF(C167="","",IFERROR(VLOOKUP(C167,マスター!A:C,3,0),""))</f>
        <v/>
      </c>
      <c r="F167" s="20" t="n"/>
      <c r="G167" s="21" t="n"/>
      <c r="H167" s="21">
        <f>IF(G167="","",G167*0.1)</f>
        <v/>
      </c>
      <c r="I167" s="21">
        <f>IF(G167="","",G167+H167)</f>
        <v/>
      </c>
      <c r="J167" s="19" t="n"/>
      <c r="K167" s="19">
        <f>IF(J167="","",EOMONTH(J167,1))</f>
        <v/>
      </c>
      <c r="L167" s="19" t="n"/>
      <c r="M167" s="21" t="n"/>
      <c r="N167" s="18">
        <f>IF(C167="","",IF(L167&lt;&gt;"","支払済","未払"))</f>
        <v/>
      </c>
    </row>
    <row r="168">
      <c r="A168" s="14">
        <f>IF(C168&lt;&gt;"",ROW()-1,"")</f>
        <v/>
      </c>
      <c r="B168" s="15" t="n"/>
      <c r="C168" s="16" t="n"/>
      <c r="D168" s="14">
        <f>IF(C168="","",IFERROR(VLOOKUP(C168,マスター!A:B,2,0),""))</f>
        <v/>
      </c>
      <c r="E168" s="14">
        <f>IF(C168="","",IFERROR(VLOOKUP(C168,マスター!A:C,3,0),""))</f>
        <v/>
      </c>
      <c r="F168" s="16" t="n"/>
      <c r="G168" s="17" t="n"/>
      <c r="H168" s="17">
        <f>IF(G168="","",G168*0.1)</f>
        <v/>
      </c>
      <c r="I168" s="17">
        <f>IF(G168="","",G168+H168)</f>
        <v/>
      </c>
      <c r="J168" s="15" t="n"/>
      <c r="K168" s="15">
        <f>IF(J168="","",EOMONTH(J168,1))</f>
        <v/>
      </c>
      <c r="L168" s="15" t="n"/>
      <c r="M168" s="17" t="n"/>
      <c r="N168" s="14">
        <f>IF(C168="","",IF(L168&lt;&gt;"","支払済","未払"))</f>
        <v/>
      </c>
    </row>
    <row r="169">
      <c r="A169" s="18">
        <f>IF(C169&lt;&gt;"",ROW()-1,"")</f>
        <v/>
      </c>
      <c r="B169" s="19" t="n"/>
      <c r="C169" s="20" t="n"/>
      <c r="D169" s="18">
        <f>IF(C169="","",IFERROR(VLOOKUP(C169,マスター!A:B,2,0),""))</f>
        <v/>
      </c>
      <c r="E169" s="18">
        <f>IF(C169="","",IFERROR(VLOOKUP(C169,マスター!A:C,3,0),""))</f>
        <v/>
      </c>
      <c r="F169" s="20" t="n"/>
      <c r="G169" s="21" t="n"/>
      <c r="H169" s="21">
        <f>IF(G169="","",G169*0.1)</f>
        <v/>
      </c>
      <c r="I169" s="21">
        <f>IF(G169="","",G169+H169)</f>
        <v/>
      </c>
      <c r="J169" s="19" t="n"/>
      <c r="K169" s="19">
        <f>IF(J169="","",EOMONTH(J169,1))</f>
        <v/>
      </c>
      <c r="L169" s="19" t="n"/>
      <c r="M169" s="21" t="n"/>
      <c r="N169" s="18">
        <f>IF(C169="","",IF(L169&lt;&gt;"","支払済","未払"))</f>
        <v/>
      </c>
    </row>
    <row r="170">
      <c r="A170" s="14">
        <f>IF(C170&lt;&gt;"",ROW()-1,"")</f>
        <v/>
      </c>
      <c r="B170" s="15" t="n"/>
      <c r="C170" s="16" t="n"/>
      <c r="D170" s="14">
        <f>IF(C170="","",IFERROR(VLOOKUP(C170,マスター!A:B,2,0),""))</f>
        <v/>
      </c>
      <c r="E170" s="14">
        <f>IF(C170="","",IFERROR(VLOOKUP(C170,マスター!A:C,3,0),""))</f>
        <v/>
      </c>
      <c r="F170" s="16" t="n"/>
      <c r="G170" s="17" t="n"/>
      <c r="H170" s="17">
        <f>IF(G170="","",G170*0.1)</f>
        <v/>
      </c>
      <c r="I170" s="17">
        <f>IF(G170="","",G170+H170)</f>
        <v/>
      </c>
      <c r="J170" s="15" t="n"/>
      <c r="K170" s="15">
        <f>IF(J170="","",EOMONTH(J170,1))</f>
        <v/>
      </c>
      <c r="L170" s="15" t="n"/>
      <c r="M170" s="17" t="n"/>
      <c r="N170" s="14">
        <f>IF(C170="","",IF(L170&lt;&gt;"","支払済","未払"))</f>
        <v/>
      </c>
    </row>
    <row r="171">
      <c r="A171" s="18">
        <f>IF(C171&lt;&gt;"",ROW()-1,"")</f>
        <v/>
      </c>
      <c r="B171" s="19" t="n"/>
      <c r="C171" s="20" t="n"/>
      <c r="D171" s="18">
        <f>IF(C171="","",IFERROR(VLOOKUP(C171,マスター!A:B,2,0),""))</f>
        <v/>
      </c>
      <c r="E171" s="18">
        <f>IF(C171="","",IFERROR(VLOOKUP(C171,マスター!A:C,3,0),""))</f>
        <v/>
      </c>
      <c r="F171" s="20" t="n"/>
      <c r="G171" s="21" t="n"/>
      <c r="H171" s="21">
        <f>IF(G171="","",G171*0.1)</f>
        <v/>
      </c>
      <c r="I171" s="21">
        <f>IF(G171="","",G171+H171)</f>
        <v/>
      </c>
      <c r="J171" s="19" t="n"/>
      <c r="K171" s="19">
        <f>IF(J171="","",EOMONTH(J171,1))</f>
        <v/>
      </c>
      <c r="L171" s="19" t="n"/>
      <c r="M171" s="21" t="n"/>
      <c r="N171" s="18">
        <f>IF(C171="","",IF(L171&lt;&gt;"","支払済","未払"))</f>
        <v/>
      </c>
    </row>
    <row r="172">
      <c r="A172" s="14">
        <f>IF(C172&lt;&gt;"",ROW()-1,"")</f>
        <v/>
      </c>
      <c r="B172" s="15" t="n"/>
      <c r="C172" s="16" t="n"/>
      <c r="D172" s="14">
        <f>IF(C172="","",IFERROR(VLOOKUP(C172,マスター!A:B,2,0),""))</f>
        <v/>
      </c>
      <c r="E172" s="14">
        <f>IF(C172="","",IFERROR(VLOOKUP(C172,マスター!A:C,3,0),""))</f>
        <v/>
      </c>
      <c r="F172" s="16" t="n"/>
      <c r="G172" s="17" t="n"/>
      <c r="H172" s="17">
        <f>IF(G172="","",G172*0.1)</f>
        <v/>
      </c>
      <c r="I172" s="17">
        <f>IF(G172="","",G172+H172)</f>
        <v/>
      </c>
      <c r="J172" s="15" t="n"/>
      <c r="K172" s="15">
        <f>IF(J172="","",EOMONTH(J172,1))</f>
        <v/>
      </c>
      <c r="L172" s="15" t="n"/>
      <c r="M172" s="17" t="n"/>
      <c r="N172" s="14">
        <f>IF(C172="","",IF(L172&lt;&gt;"","支払済","未払"))</f>
        <v/>
      </c>
    </row>
    <row r="173">
      <c r="A173" s="18">
        <f>IF(C173&lt;&gt;"",ROW()-1,"")</f>
        <v/>
      </c>
      <c r="B173" s="19" t="n"/>
      <c r="C173" s="20" t="n"/>
      <c r="D173" s="18">
        <f>IF(C173="","",IFERROR(VLOOKUP(C173,マスター!A:B,2,0),""))</f>
        <v/>
      </c>
      <c r="E173" s="18">
        <f>IF(C173="","",IFERROR(VLOOKUP(C173,マスター!A:C,3,0),""))</f>
        <v/>
      </c>
      <c r="F173" s="20" t="n"/>
      <c r="G173" s="21" t="n"/>
      <c r="H173" s="21">
        <f>IF(G173="","",G173*0.1)</f>
        <v/>
      </c>
      <c r="I173" s="21">
        <f>IF(G173="","",G173+H173)</f>
        <v/>
      </c>
      <c r="J173" s="19" t="n"/>
      <c r="K173" s="19">
        <f>IF(J173="","",EOMONTH(J173,1))</f>
        <v/>
      </c>
      <c r="L173" s="19" t="n"/>
      <c r="M173" s="21" t="n"/>
      <c r="N173" s="18">
        <f>IF(C173="","",IF(L173&lt;&gt;"","支払済","未払"))</f>
        <v/>
      </c>
    </row>
    <row r="174">
      <c r="A174" s="14">
        <f>IF(C174&lt;&gt;"",ROW()-1,"")</f>
        <v/>
      </c>
      <c r="B174" s="15" t="n"/>
      <c r="C174" s="16" t="n"/>
      <c r="D174" s="14">
        <f>IF(C174="","",IFERROR(VLOOKUP(C174,マスター!A:B,2,0),""))</f>
        <v/>
      </c>
      <c r="E174" s="14">
        <f>IF(C174="","",IFERROR(VLOOKUP(C174,マスター!A:C,3,0),""))</f>
        <v/>
      </c>
      <c r="F174" s="16" t="n"/>
      <c r="G174" s="17" t="n"/>
      <c r="H174" s="17">
        <f>IF(G174="","",G174*0.1)</f>
        <v/>
      </c>
      <c r="I174" s="17">
        <f>IF(G174="","",G174+H174)</f>
        <v/>
      </c>
      <c r="J174" s="15" t="n"/>
      <c r="K174" s="15">
        <f>IF(J174="","",EOMONTH(J174,1))</f>
        <v/>
      </c>
      <c r="L174" s="15" t="n"/>
      <c r="M174" s="17" t="n"/>
      <c r="N174" s="14">
        <f>IF(C174="","",IF(L174&lt;&gt;"","支払済","未払"))</f>
        <v/>
      </c>
    </row>
    <row r="175">
      <c r="A175" s="18">
        <f>IF(C175&lt;&gt;"",ROW()-1,"")</f>
        <v/>
      </c>
      <c r="B175" s="19" t="n"/>
      <c r="C175" s="20" t="n"/>
      <c r="D175" s="18">
        <f>IF(C175="","",IFERROR(VLOOKUP(C175,マスター!A:B,2,0),""))</f>
        <v/>
      </c>
      <c r="E175" s="18">
        <f>IF(C175="","",IFERROR(VLOOKUP(C175,マスター!A:C,3,0),""))</f>
        <v/>
      </c>
      <c r="F175" s="20" t="n"/>
      <c r="G175" s="21" t="n"/>
      <c r="H175" s="21">
        <f>IF(G175="","",G175*0.1)</f>
        <v/>
      </c>
      <c r="I175" s="21">
        <f>IF(G175="","",G175+H175)</f>
        <v/>
      </c>
      <c r="J175" s="19" t="n"/>
      <c r="K175" s="19">
        <f>IF(J175="","",EOMONTH(J175,1))</f>
        <v/>
      </c>
      <c r="L175" s="19" t="n"/>
      <c r="M175" s="21" t="n"/>
      <c r="N175" s="18">
        <f>IF(C175="","",IF(L175&lt;&gt;"","支払済","未払"))</f>
        <v/>
      </c>
    </row>
    <row r="176">
      <c r="A176" s="14">
        <f>IF(C176&lt;&gt;"",ROW()-1,"")</f>
        <v/>
      </c>
      <c r="B176" s="15" t="n"/>
      <c r="C176" s="16" t="n"/>
      <c r="D176" s="14">
        <f>IF(C176="","",IFERROR(VLOOKUP(C176,マスター!A:B,2,0),""))</f>
        <v/>
      </c>
      <c r="E176" s="14">
        <f>IF(C176="","",IFERROR(VLOOKUP(C176,マスター!A:C,3,0),""))</f>
        <v/>
      </c>
      <c r="F176" s="16" t="n"/>
      <c r="G176" s="17" t="n"/>
      <c r="H176" s="17">
        <f>IF(G176="","",G176*0.1)</f>
        <v/>
      </c>
      <c r="I176" s="17">
        <f>IF(G176="","",G176+H176)</f>
        <v/>
      </c>
      <c r="J176" s="15" t="n"/>
      <c r="K176" s="15">
        <f>IF(J176="","",EOMONTH(J176,1))</f>
        <v/>
      </c>
      <c r="L176" s="15" t="n"/>
      <c r="M176" s="17" t="n"/>
      <c r="N176" s="14">
        <f>IF(C176="","",IF(L176&lt;&gt;"","支払済","未払"))</f>
        <v/>
      </c>
    </row>
    <row r="177">
      <c r="A177" s="18">
        <f>IF(C177&lt;&gt;"",ROW()-1,"")</f>
        <v/>
      </c>
      <c r="B177" s="19" t="n"/>
      <c r="C177" s="20" t="n"/>
      <c r="D177" s="18">
        <f>IF(C177="","",IFERROR(VLOOKUP(C177,マスター!A:B,2,0),""))</f>
        <v/>
      </c>
      <c r="E177" s="18">
        <f>IF(C177="","",IFERROR(VLOOKUP(C177,マスター!A:C,3,0),""))</f>
        <v/>
      </c>
      <c r="F177" s="20" t="n"/>
      <c r="G177" s="21" t="n"/>
      <c r="H177" s="21">
        <f>IF(G177="","",G177*0.1)</f>
        <v/>
      </c>
      <c r="I177" s="21">
        <f>IF(G177="","",G177+H177)</f>
        <v/>
      </c>
      <c r="J177" s="19" t="n"/>
      <c r="K177" s="19">
        <f>IF(J177="","",EOMONTH(J177,1))</f>
        <v/>
      </c>
      <c r="L177" s="19" t="n"/>
      <c r="M177" s="21" t="n"/>
      <c r="N177" s="18">
        <f>IF(C177="","",IF(L177&lt;&gt;"","支払済","未払"))</f>
        <v/>
      </c>
    </row>
    <row r="178">
      <c r="A178" s="14">
        <f>IF(C178&lt;&gt;"",ROW()-1,"")</f>
        <v/>
      </c>
      <c r="B178" s="15" t="n"/>
      <c r="C178" s="16" t="n"/>
      <c r="D178" s="14">
        <f>IF(C178="","",IFERROR(VLOOKUP(C178,マスター!A:B,2,0),""))</f>
        <v/>
      </c>
      <c r="E178" s="14">
        <f>IF(C178="","",IFERROR(VLOOKUP(C178,マスター!A:C,3,0),""))</f>
        <v/>
      </c>
      <c r="F178" s="16" t="n"/>
      <c r="G178" s="17" t="n"/>
      <c r="H178" s="17">
        <f>IF(G178="","",G178*0.1)</f>
        <v/>
      </c>
      <c r="I178" s="17">
        <f>IF(G178="","",G178+H178)</f>
        <v/>
      </c>
      <c r="J178" s="15" t="n"/>
      <c r="K178" s="15">
        <f>IF(J178="","",EOMONTH(J178,1))</f>
        <v/>
      </c>
      <c r="L178" s="15" t="n"/>
      <c r="M178" s="17" t="n"/>
      <c r="N178" s="14">
        <f>IF(C178="","",IF(L178&lt;&gt;"","支払済","未払"))</f>
        <v/>
      </c>
    </row>
    <row r="179">
      <c r="A179" s="18">
        <f>IF(C179&lt;&gt;"",ROW()-1,"")</f>
        <v/>
      </c>
      <c r="B179" s="19" t="n"/>
      <c r="C179" s="20" t="n"/>
      <c r="D179" s="18">
        <f>IF(C179="","",IFERROR(VLOOKUP(C179,マスター!A:B,2,0),""))</f>
        <v/>
      </c>
      <c r="E179" s="18">
        <f>IF(C179="","",IFERROR(VLOOKUP(C179,マスター!A:C,3,0),""))</f>
        <v/>
      </c>
      <c r="F179" s="20" t="n"/>
      <c r="G179" s="21" t="n"/>
      <c r="H179" s="21">
        <f>IF(G179="","",G179*0.1)</f>
        <v/>
      </c>
      <c r="I179" s="21">
        <f>IF(G179="","",G179+H179)</f>
        <v/>
      </c>
      <c r="J179" s="19" t="n"/>
      <c r="K179" s="19">
        <f>IF(J179="","",EOMONTH(J179,1))</f>
        <v/>
      </c>
      <c r="L179" s="19" t="n"/>
      <c r="M179" s="21" t="n"/>
      <c r="N179" s="18">
        <f>IF(C179="","",IF(L179&lt;&gt;"","支払済","未払"))</f>
        <v/>
      </c>
    </row>
    <row r="180">
      <c r="A180" s="14">
        <f>IF(C180&lt;&gt;"",ROW()-1,"")</f>
        <v/>
      </c>
      <c r="B180" s="15" t="n"/>
      <c r="C180" s="16" t="n"/>
      <c r="D180" s="14">
        <f>IF(C180="","",IFERROR(VLOOKUP(C180,マスター!A:B,2,0),""))</f>
        <v/>
      </c>
      <c r="E180" s="14">
        <f>IF(C180="","",IFERROR(VLOOKUP(C180,マスター!A:C,3,0),""))</f>
        <v/>
      </c>
      <c r="F180" s="16" t="n"/>
      <c r="G180" s="17" t="n"/>
      <c r="H180" s="17">
        <f>IF(G180="","",G180*0.1)</f>
        <v/>
      </c>
      <c r="I180" s="17">
        <f>IF(G180="","",G180+H180)</f>
        <v/>
      </c>
      <c r="J180" s="15" t="n"/>
      <c r="K180" s="15">
        <f>IF(J180="","",EOMONTH(J180,1))</f>
        <v/>
      </c>
      <c r="L180" s="15" t="n"/>
      <c r="M180" s="17" t="n"/>
      <c r="N180" s="14">
        <f>IF(C180="","",IF(L180&lt;&gt;"","支払済","未払"))</f>
        <v/>
      </c>
    </row>
    <row r="181">
      <c r="A181" s="18">
        <f>IF(C181&lt;&gt;"",ROW()-1,"")</f>
        <v/>
      </c>
      <c r="B181" s="19" t="n"/>
      <c r="C181" s="20" t="n"/>
      <c r="D181" s="18">
        <f>IF(C181="","",IFERROR(VLOOKUP(C181,マスター!A:B,2,0),""))</f>
        <v/>
      </c>
      <c r="E181" s="18">
        <f>IF(C181="","",IFERROR(VLOOKUP(C181,マスター!A:C,3,0),""))</f>
        <v/>
      </c>
      <c r="F181" s="20" t="n"/>
      <c r="G181" s="21" t="n"/>
      <c r="H181" s="21">
        <f>IF(G181="","",G181*0.1)</f>
        <v/>
      </c>
      <c r="I181" s="21">
        <f>IF(G181="","",G181+H181)</f>
        <v/>
      </c>
      <c r="J181" s="19" t="n"/>
      <c r="K181" s="19">
        <f>IF(J181="","",EOMONTH(J181,1))</f>
        <v/>
      </c>
      <c r="L181" s="19" t="n"/>
      <c r="M181" s="21" t="n"/>
      <c r="N181" s="18">
        <f>IF(C181="","",IF(L181&lt;&gt;"","支払済","未払"))</f>
        <v/>
      </c>
    </row>
    <row r="182">
      <c r="A182" s="14">
        <f>IF(C182&lt;&gt;"",ROW()-1,"")</f>
        <v/>
      </c>
      <c r="B182" s="15" t="n"/>
      <c r="C182" s="16" t="n"/>
      <c r="D182" s="14">
        <f>IF(C182="","",IFERROR(VLOOKUP(C182,マスター!A:B,2,0),""))</f>
        <v/>
      </c>
      <c r="E182" s="14">
        <f>IF(C182="","",IFERROR(VLOOKUP(C182,マスター!A:C,3,0),""))</f>
        <v/>
      </c>
      <c r="F182" s="16" t="n"/>
      <c r="G182" s="17" t="n"/>
      <c r="H182" s="17">
        <f>IF(G182="","",G182*0.1)</f>
        <v/>
      </c>
      <c r="I182" s="17">
        <f>IF(G182="","",G182+H182)</f>
        <v/>
      </c>
      <c r="J182" s="15" t="n"/>
      <c r="K182" s="15">
        <f>IF(J182="","",EOMONTH(J182,1))</f>
        <v/>
      </c>
      <c r="L182" s="15" t="n"/>
      <c r="M182" s="17" t="n"/>
      <c r="N182" s="14">
        <f>IF(C182="","",IF(L182&lt;&gt;"","支払済","未払"))</f>
        <v/>
      </c>
    </row>
    <row r="183">
      <c r="A183" s="18">
        <f>IF(C183&lt;&gt;"",ROW()-1,"")</f>
        <v/>
      </c>
      <c r="B183" s="19" t="n"/>
      <c r="C183" s="20" t="n"/>
      <c r="D183" s="18">
        <f>IF(C183="","",IFERROR(VLOOKUP(C183,マスター!A:B,2,0),""))</f>
        <v/>
      </c>
      <c r="E183" s="18">
        <f>IF(C183="","",IFERROR(VLOOKUP(C183,マスター!A:C,3,0),""))</f>
        <v/>
      </c>
      <c r="F183" s="20" t="n"/>
      <c r="G183" s="21" t="n"/>
      <c r="H183" s="21">
        <f>IF(G183="","",G183*0.1)</f>
        <v/>
      </c>
      <c r="I183" s="21">
        <f>IF(G183="","",G183+H183)</f>
        <v/>
      </c>
      <c r="J183" s="19" t="n"/>
      <c r="K183" s="19">
        <f>IF(J183="","",EOMONTH(J183,1))</f>
        <v/>
      </c>
      <c r="L183" s="19" t="n"/>
      <c r="M183" s="21" t="n"/>
      <c r="N183" s="18">
        <f>IF(C183="","",IF(L183&lt;&gt;"","支払済","未払"))</f>
        <v/>
      </c>
    </row>
    <row r="184">
      <c r="A184" s="14">
        <f>IF(C184&lt;&gt;"",ROW()-1,"")</f>
        <v/>
      </c>
      <c r="B184" s="15" t="n"/>
      <c r="C184" s="16" t="n"/>
      <c r="D184" s="14">
        <f>IF(C184="","",IFERROR(VLOOKUP(C184,マスター!A:B,2,0),""))</f>
        <v/>
      </c>
      <c r="E184" s="14">
        <f>IF(C184="","",IFERROR(VLOOKUP(C184,マスター!A:C,3,0),""))</f>
        <v/>
      </c>
      <c r="F184" s="16" t="n"/>
      <c r="G184" s="17" t="n"/>
      <c r="H184" s="17">
        <f>IF(G184="","",G184*0.1)</f>
        <v/>
      </c>
      <c r="I184" s="17">
        <f>IF(G184="","",G184+H184)</f>
        <v/>
      </c>
      <c r="J184" s="15" t="n"/>
      <c r="K184" s="15">
        <f>IF(J184="","",EOMONTH(J184,1))</f>
        <v/>
      </c>
      <c r="L184" s="15" t="n"/>
      <c r="M184" s="17" t="n"/>
      <c r="N184" s="14">
        <f>IF(C184="","",IF(L184&lt;&gt;"","支払済","未払"))</f>
        <v/>
      </c>
    </row>
    <row r="185">
      <c r="A185" s="18">
        <f>IF(C185&lt;&gt;"",ROW()-1,"")</f>
        <v/>
      </c>
      <c r="B185" s="19" t="n"/>
      <c r="C185" s="20" t="n"/>
      <c r="D185" s="18">
        <f>IF(C185="","",IFERROR(VLOOKUP(C185,マスター!A:B,2,0),""))</f>
        <v/>
      </c>
      <c r="E185" s="18">
        <f>IF(C185="","",IFERROR(VLOOKUP(C185,マスター!A:C,3,0),""))</f>
        <v/>
      </c>
      <c r="F185" s="20" t="n"/>
      <c r="G185" s="21" t="n"/>
      <c r="H185" s="21">
        <f>IF(G185="","",G185*0.1)</f>
        <v/>
      </c>
      <c r="I185" s="21">
        <f>IF(G185="","",G185+H185)</f>
        <v/>
      </c>
      <c r="J185" s="19" t="n"/>
      <c r="K185" s="19">
        <f>IF(J185="","",EOMONTH(J185,1))</f>
        <v/>
      </c>
      <c r="L185" s="19" t="n"/>
      <c r="M185" s="21" t="n"/>
      <c r="N185" s="18">
        <f>IF(C185="","",IF(L185&lt;&gt;"","支払済","未払"))</f>
        <v/>
      </c>
    </row>
    <row r="186">
      <c r="A186" s="14">
        <f>IF(C186&lt;&gt;"",ROW()-1,"")</f>
        <v/>
      </c>
      <c r="B186" s="15" t="n"/>
      <c r="C186" s="16" t="n"/>
      <c r="D186" s="14">
        <f>IF(C186="","",IFERROR(VLOOKUP(C186,マスター!A:B,2,0),""))</f>
        <v/>
      </c>
      <c r="E186" s="14">
        <f>IF(C186="","",IFERROR(VLOOKUP(C186,マスター!A:C,3,0),""))</f>
        <v/>
      </c>
      <c r="F186" s="16" t="n"/>
      <c r="G186" s="17" t="n"/>
      <c r="H186" s="17">
        <f>IF(G186="","",G186*0.1)</f>
        <v/>
      </c>
      <c r="I186" s="17">
        <f>IF(G186="","",G186+H186)</f>
        <v/>
      </c>
      <c r="J186" s="15" t="n"/>
      <c r="K186" s="15">
        <f>IF(J186="","",EOMONTH(J186,1))</f>
        <v/>
      </c>
      <c r="L186" s="15" t="n"/>
      <c r="M186" s="17" t="n"/>
      <c r="N186" s="14">
        <f>IF(C186="","",IF(L186&lt;&gt;"","支払済","未払"))</f>
        <v/>
      </c>
    </row>
    <row r="187">
      <c r="A187" s="18">
        <f>IF(C187&lt;&gt;"",ROW()-1,"")</f>
        <v/>
      </c>
      <c r="B187" s="19" t="n"/>
      <c r="C187" s="20" t="n"/>
      <c r="D187" s="18">
        <f>IF(C187="","",IFERROR(VLOOKUP(C187,マスター!A:B,2,0),""))</f>
        <v/>
      </c>
      <c r="E187" s="18">
        <f>IF(C187="","",IFERROR(VLOOKUP(C187,マスター!A:C,3,0),""))</f>
        <v/>
      </c>
      <c r="F187" s="20" t="n"/>
      <c r="G187" s="21" t="n"/>
      <c r="H187" s="21">
        <f>IF(G187="","",G187*0.1)</f>
        <v/>
      </c>
      <c r="I187" s="21">
        <f>IF(G187="","",G187+H187)</f>
        <v/>
      </c>
      <c r="J187" s="19" t="n"/>
      <c r="K187" s="19">
        <f>IF(J187="","",EOMONTH(J187,1))</f>
        <v/>
      </c>
      <c r="L187" s="19" t="n"/>
      <c r="M187" s="21" t="n"/>
      <c r="N187" s="18">
        <f>IF(C187="","",IF(L187&lt;&gt;"","支払済","未払"))</f>
        <v/>
      </c>
    </row>
    <row r="188">
      <c r="A188" s="14">
        <f>IF(C188&lt;&gt;"",ROW()-1,"")</f>
        <v/>
      </c>
      <c r="B188" s="15" t="n"/>
      <c r="C188" s="16" t="n"/>
      <c r="D188" s="14">
        <f>IF(C188="","",IFERROR(VLOOKUP(C188,マスター!A:B,2,0),""))</f>
        <v/>
      </c>
      <c r="E188" s="14">
        <f>IF(C188="","",IFERROR(VLOOKUP(C188,マスター!A:C,3,0),""))</f>
        <v/>
      </c>
      <c r="F188" s="16" t="n"/>
      <c r="G188" s="17" t="n"/>
      <c r="H188" s="17">
        <f>IF(G188="","",G188*0.1)</f>
        <v/>
      </c>
      <c r="I188" s="17">
        <f>IF(G188="","",G188+H188)</f>
        <v/>
      </c>
      <c r="J188" s="15" t="n"/>
      <c r="K188" s="15">
        <f>IF(J188="","",EOMONTH(J188,1))</f>
        <v/>
      </c>
      <c r="L188" s="15" t="n"/>
      <c r="M188" s="17" t="n"/>
      <c r="N188" s="14">
        <f>IF(C188="","",IF(L188&lt;&gt;"","支払済","未払"))</f>
        <v/>
      </c>
    </row>
    <row r="189">
      <c r="A189" s="18">
        <f>IF(C189&lt;&gt;"",ROW()-1,"")</f>
        <v/>
      </c>
      <c r="B189" s="19" t="n"/>
      <c r="C189" s="20" t="n"/>
      <c r="D189" s="18">
        <f>IF(C189="","",IFERROR(VLOOKUP(C189,マスター!A:B,2,0),""))</f>
        <v/>
      </c>
      <c r="E189" s="18">
        <f>IF(C189="","",IFERROR(VLOOKUP(C189,マスター!A:C,3,0),""))</f>
        <v/>
      </c>
      <c r="F189" s="20" t="n"/>
      <c r="G189" s="21" t="n"/>
      <c r="H189" s="21">
        <f>IF(G189="","",G189*0.1)</f>
        <v/>
      </c>
      <c r="I189" s="21">
        <f>IF(G189="","",G189+H189)</f>
        <v/>
      </c>
      <c r="J189" s="19" t="n"/>
      <c r="K189" s="19">
        <f>IF(J189="","",EOMONTH(J189,1))</f>
        <v/>
      </c>
      <c r="L189" s="19" t="n"/>
      <c r="M189" s="21" t="n"/>
      <c r="N189" s="18">
        <f>IF(C189="","",IF(L189&lt;&gt;"","支払済","未払"))</f>
        <v/>
      </c>
    </row>
    <row r="190">
      <c r="A190" s="14">
        <f>IF(C190&lt;&gt;"",ROW()-1,"")</f>
        <v/>
      </c>
      <c r="B190" s="15" t="n"/>
      <c r="C190" s="16" t="n"/>
      <c r="D190" s="14">
        <f>IF(C190="","",IFERROR(VLOOKUP(C190,マスター!A:B,2,0),""))</f>
        <v/>
      </c>
      <c r="E190" s="14">
        <f>IF(C190="","",IFERROR(VLOOKUP(C190,マスター!A:C,3,0),""))</f>
        <v/>
      </c>
      <c r="F190" s="16" t="n"/>
      <c r="G190" s="17" t="n"/>
      <c r="H190" s="17">
        <f>IF(G190="","",G190*0.1)</f>
        <v/>
      </c>
      <c r="I190" s="17">
        <f>IF(G190="","",G190+H190)</f>
        <v/>
      </c>
      <c r="J190" s="15" t="n"/>
      <c r="K190" s="15">
        <f>IF(J190="","",EOMONTH(J190,1))</f>
        <v/>
      </c>
      <c r="L190" s="15" t="n"/>
      <c r="M190" s="17" t="n"/>
      <c r="N190" s="14">
        <f>IF(C190="","",IF(L190&lt;&gt;"","支払済","未払"))</f>
        <v/>
      </c>
    </row>
    <row r="191">
      <c r="A191" s="18">
        <f>IF(C191&lt;&gt;"",ROW()-1,"")</f>
        <v/>
      </c>
      <c r="B191" s="19" t="n"/>
      <c r="C191" s="20" t="n"/>
      <c r="D191" s="18">
        <f>IF(C191="","",IFERROR(VLOOKUP(C191,マスター!A:B,2,0),""))</f>
        <v/>
      </c>
      <c r="E191" s="18">
        <f>IF(C191="","",IFERROR(VLOOKUP(C191,マスター!A:C,3,0),""))</f>
        <v/>
      </c>
      <c r="F191" s="20" t="n"/>
      <c r="G191" s="21" t="n"/>
      <c r="H191" s="21">
        <f>IF(G191="","",G191*0.1)</f>
        <v/>
      </c>
      <c r="I191" s="21">
        <f>IF(G191="","",G191+H191)</f>
        <v/>
      </c>
      <c r="J191" s="19" t="n"/>
      <c r="K191" s="19">
        <f>IF(J191="","",EOMONTH(J191,1))</f>
        <v/>
      </c>
      <c r="L191" s="19" t="n"/>
      <c r="M191" s="21" t="n"/>
      <c r="N191" s="18">
        <f>IF(C191="","",IF(L191&lt;&gt;"","支払済","未払"))</f>
        <v/>
      </c>
    </row>
    <row r="192">
      <c r="A192" s="14">
        <f>IF(C192&lt;&gt;"",ROW()-1,"")</f>
        <v/>
      </c>
      <c r="B192" s="15" t="n"/>
      <c r="C192" s="16" t="n"/>
      <c r="D192" s="14">
        <f>IF(C192="","",IFERROR(VLOOKUP(C192,マスター!A:B,2,0),""))</f>
        <v/>
      </c>
      <c r="E192" s="14">
        <f>IF(C192="","",IFERROR(VLOOKUP(C192,マスター!A:C,3,0),""))</f>
        <v/>
      </c>
      <c r="F192" s="16" t="n"/>
      <c r="G192" s="17" t="n"/>
      <c r="H192" s="17">
        <f>IF(G192="","",G192*0.1)</f>
        <v/>
      </c>
      <c r="I192" s="17">
        <f>IF(G192="","",G192+H192)</f>
        <v/>
      </c>
      <c r="J192" s="15" t="n"/>
      <c r="K192" s="15">
        <f>IF(J192="","",EOMONTH(J192,1))</f>
        <v/>
      </c>
      <c r="L192" s="15" t="n"/>
      <c r="M192" s="17" t="n"/>
      <c r="N192" s="14">
        <f>IF(C192="","",IF(L192&lt;&gt;"","支払済","未払"))</f>
        <v/>
      </c>
    </row>
    <row r="193">
      <c r="A193" s="18">
        <f>IF(C193&lt;&gt;"",ROW()-1,"")</f>
        <v/>
      </c>
      <c r="B193" s="19" t="n"/>
      <c r="C193" s="20" t="n"/>
      <c r="D193" s="18">
        <f>IF(C193="","",IFERROR(VLOOKUP(C193,マスター!A:B,2,0),""))</f>
        <v/>
      </c>
      <c r="E193" s="18">
        <f>IF(C193="","",IFERROR(VLOOKUP(C193,マスター!A:C,3,0),""))</f>
        <v/>
      </c>
      <c r="F193" s="20" t="n"/>
      <c r="G193" s="21" t="n"/>
      <c r="H193" s="21">
        <f>IF(G193="","",G193*0.1)</f>
        <v/>
      </c>
      <c r="I193" s="21">
        <f>IF(G193="","",G193+H193)</f>
        <v/>
      </c>
      <c r="J193" s="19" t="n"/>
      <c r="K193" s="19">
        <f>IF(J193="","",EOMONTH(J193,1))</f>
        <v/>
      </c>
      <c r="L193" s="19" t="n"/>
      <c r="M193" s="21" t="n"/>
      <c r="N193" s="18">
        <f>IF(C193="","",IF(L193&lt;&gt;"","支払済","未払"))</f>
        <v/>
      </c>
    </row>
    <row r="194">
      <c r="A194" s="14">
        <f>IF(C194&lt;&gt;"",ROW()-1,"")</f>
        <v/>
      </c>
      <c r="B194" s="15" t="n"/>
      <c r="C194" s="16" t="n"/>
      <c r="D194" s="14">
        <f>IF(C194="","",IFERROR(VLOOKUP(C194,マスター!A:B,2,0),""))</f>
        <v/>
      </c>
      <c r="E194" s="14">
        <f>IF(C194="","",IFERROR(VLOOKUP(C194,マスター!A:C,3,0),""))</f>
        <v/>
      </c>
      <c r="F194" s="16" t="n"/>
      <c r="G194" s="17" t="n"/>
      <c r="H194" s="17">
        <f>IF(G194="","",G194*0.1)</f>
        <v/>
      </c>
      <c r="I194" s="17">
        <f>IF(G194="","",G194+H194)</f>
        <v/>
      </c>
      <c r="J194" s="15" t="n"/>
      <c r="K194" s="15">
        <f>IF(J194="","",EOMONTH(J194,1))</f>
        <v/>
      </c>
      <c r="L194" s="15" t="n"/>
      <c r="M194" s="17" t="n"/>
      <c r="N194" s="14">
        <f>IF(C194="","",IF(L194&lt;&gt;"","支払済","未払"))</f>
        <v/>
      </c>
    </row>
    <row r="195">
      <c r="A195" s="18">
        <f>IF(C195&lt;&gt;"",ROW()-1,"")</f>
        <v/>
      </c>
      <c r="B195" s="19" t="n"/>
      <c r="C195" s="20" t="n"/>
      <c r="D195" s="18">
        <f>IF(C195="","",IFERROR(VLOOKUP(C195,マスター!A:B,2,0),""))</f>
        <v/>
      </c>
      <c r="E195" s="18">
        <f>IF(C195="","",IFERROR(VLOOKUP(C195,マスター!A:C,3,0),""))</f>
        <v/>
      </c>
      <c r="F195" s="20" t="n"/>
      <c r="G195" s="21" t="n"/>
      <c r="H195" s="21">
        <f>IF(G195="","",G195*0.1)</f>
        <v/>
      </c>
      <c r="I195" s="21">
        <f>IF(G195="","",G195+H195)</f>
        <v/>
      </c>
      <c r="J195" s="19" t="n"/>
      <c r="K195" s="19">
        <f>IF(J195="","",EOMONTH(J195,1))</f>
        <v/>
      </c>
      <c r="L195" s="19" t="n"/>
      <c r="M195" s="21" t="n"/>
      <c r="N195" s="18">
        <f>IF(C195="","",IF(L195&lt;&gt;"","支払済","未払"))</f>
        <v/>
      </c>
    </row>
    <row r="196">
      <c r="A196" s="14">
        <f>IF(C196&lt;&gt;"",ROW()-1,"")</f>
        <v/>
      </c>
      <c r="B196" s="15" t="n"/>
      <c r="C196" s="16" t="n"/>
      <c r="D196" s="14">
        <f>IF(C196="","",IFERROR(VLOOKUP(C196,マスター!A:B,2,0),""))</f>
        <v/>
      </c>
      <c r="E196" s="14">
        <f>IF(C196="","",IFERROR(VLOOKUP(C196,マスター!A:C,3,0),""))</f>
        <v/>
      </c>
      <c r="F196" s="16" t="n"/>
      <c r="G196" s="17" t="n"/>
      <c r="H196" s="17">
        <f>IF(G196="","",G196*0.1)</f>
        <v/>
      </c>
      <c r="I196" s="17">
        <f>IF(G196="","",G196+H196)</f>
        <v/>
      </c>
      <c r="J196" s="15" t="n"/>
      <c r="K196" s="15">
        <f>IF(J196="","",EOMONTH(J196,1))</f>
        <v/>
      </c>
      <c r="L196" s="15" t="n"/>
      <c r="M196" s="17" t="n"/>
      <c r="N196" s="14">
        <f>IF(C196="","",IF(L196&lt;&gt;"","支払済","未払"))</f>
        <v/>
      </c>
    </row>
    <row r="197">
      <c r="A197" s="18">
        <f>IF(C197&lt;&gt;"",ROW()-1,"")</f>
        <v/>
      </c>
      <c r="B197" s="19" t="n"/>
      <c r="C197" s="20" t="n"/>
      <c r="D197" s="18">
        <f>IF(C197="","",IFERROR(VLOOKUP(C197,マスター!A:B,2,0),""))</f>
        <v/>
      </c>
      <c r="E197" s="18">
        <f>IF(C197="","",IFERROR(VLOOKUP(C197,マスター!A:C,3,0),""))</f>
        <v/>
      </c>
      <c r="F197" s="20" t="n"/>
      <c r="G197" s="21" t="n"/>
      <c r="H197" s="21">
        <f>IF(G197="","",G197*0.1)</f>
        <v/>
      </c>
      <c r="I197" s="21">
        <f>IF(G197="","",G197+H197)</f>
        <v/>
      </c>
      <c r="J197" s="19" t="n"/>
      <c r="K197" s="19">
        <f>IF(J197="","",EOMONTH(J197,1))</f>
        <v/>
      </c>
      <c r="L197" s="19" t="n"/>
      <c r="M197" s="21" t="n"/>
      <c r="N197" s="18">
        <f>IF(C197="","",IF(L197&lt;&gt;"","支払済","未払"))</f>
        <v/>
      </c>
    </row>
    <row r="198">
      <c r="A198" s="14">
        <f>IF(C198&lt;&gt;"",ROW()-1,"")</f>
        <v/>
      </c>
      <c r="B198" s="15" t="n"/>
      <c r="C198" s="16" t="n"/>
      <c r="D198" s="14">
        <f>IF(C198="","",IFERROR(VLOOKUP(C198,マスター!A:B,2,0),""))</f>
        <v/>
      </c>
      <c r="E198" s="14">
        <f>IF(C198="","",IFERROR(VLOOKUP(C198,マスター!A:C,3,0),""))</f>
        <v/>
      </c>
      <c r="F198" s="16" t="n"/>
      <c r="G198" s="17" t="n"/>
      <c r="H198" s="17">
        <f>IF(G198="","",G198*0.1)</f>
        <v/>
      </c>
      <c r="I198" s="17">
        <f>IF(G198="","",G198+H198)</f>
        <v/>
      </c>
      <c r="J198" s="15" t="n"/>
      <c r="K198" s="15">
        <f>IF(J198="","",EOMONTH(J198,1))</f>
        <v/>
      </c>
      <c r="L198" s="15" t="n"/>
      <c r="M198" s="17" t="n"/>
      <c r="N198" s="14">
        <f>IF(C198="","",IF(L198&lt;&gt;"","支払済","未払"))</f>
        <v/>
      </c>
    </row>
    <row r="199">
      <c r="A199" s="18">
        <f>IF(C199&lt;&gt;"",ROW()-1,"")</f>
        <v/>
      </c>
      <c r="B199" s="19" t="n"/>
      <c r="C199" s="20" t="n"/>
      <c r="D199" s="18">
        <f>IF(C199="","",IFERROR(VLOOKUP(C199,マスター!A:B,2,0),""))</f>
        <v/>
      </c>
      <c r="E199" s="18">
        <f>IF(C199="","",IFERROR(VLOOKUP(C199,マスター!A:C,3,0),""))</f>
        <v/>
      </c>
      <c r="F199" s="20" t="n"/>
      <c r="G199" s="21" t="n"/>
      <c r="H199" s="21">
        <f>IF(G199="","",G199*0.1)</f>
        <v/>
      </c>
      <c r="I199" s="21">
        <f>IF(G199="","",G199+H199)</f>
        <v/>
      </c>
      <c r="J199" s="19" t="n"/>
      <c r="K199" s="19">
        <f>IF(J199="","",EOMONTH(J199,1))</f>
        <v/>
      </c>
      <c r="L199" s="19" t="n"/>
      <c r="M199" s="21" t="n"/>
      <c r="N199" s="18">
        <f>IF(C199="","",IF(L199&lt;&gt;"","支払済","未払"))</f>
        <v/>
      </c>
    </row>
    <row r="200">
      <c r="A200" s="14">
        <f>IF(C200&lt;&gt;"",ROW()-1,"")</f>
        <v/>
      </c>
      <c r="B200" s="15" t="n"/>
      <c r="C200" s="16" t="n"/>
      <c r="D200" s="14">
        <f>IF(C200="","",IFERROR(VLOOKUP(C200,マスター!A:B,2,0),""))</f>
        <v/>
      </c>
      <c r="E200" s="14">
        <f>IF(C200="","",IFERROR(VLOOKUP(C200,マスター!A:C,3,0),""))</f>
        <v/>
      </c>
      <c r="F200" s="16" t="n"/>
      <c r="G200" s="17" t="n"/>
      <c r="H200" s="17">
        <f>IF(G200="","",G200*0.1)</f>
        <v/>
      </c>
      <c r="I200" s="17">
        <f>IF(G200="","",G200+H200)</f>
        <v/>
      </c>
      <c r="J200" s="15" t="n"/>
      <c r="K200" s="15">
        <f>IF(J200="","",EOMONTH(J200,1))</f>
        <v/>
      </c>
      <c r="L200" s="15" t="n"/>
      <c r="M200" s="17" t="n"/>
      <c r="N200" s="14">
        <f>IF(C200="","",IF(L200&lt;&gt;"","支払済","未払"))</f>
        <v/>
      </c>
    </row>
    <row r="201">
      <c r="A201" s="18">
        <f>IF(C201&lt;&gt;"",ROW()-1,"")</f>
        <v/>
      </c>
      <c r="B201" s="19" t="n"/>
      <c r="C201" s="20" t="n"/>
      <c r="D201" s="18">
        <f>IF(C201="","",IFERROR(VLOOKUP(C201,マスター!A:B,2,0),""))</f>
        <v/>
      </c>
      <c r="E201" s="18">
        <f>IF(C201="","",IFERROR(VLOOKUP(C201,マスター!A:C,3,0),""))</f>
        <v/>
      </c>
      <c r="F201" s="20" t="n"/>
      <c r="G201" s="21" t="n"/>
      <c r="H201" s="21">
        <f>IF(G201="","",G201*0.1)</f>
        <v/>
      </c>
      <c r="I201" s="21">
        <f>IF(G201="","",G201+H201)</f>
        <v/>
      </c>
      <c r="J201" s="19" t="n"/>
      <c r="K201" s="19">
        <f>IF(J201="","",EOMONTH(J201,1))</f>
        <v/>
      </c>
      <c r="L201" s="19" t="n"/>
      <c r="M201" s="21" t="n"/>
      <c r="N201" s="18">
        <f>IF(C201="","",IF(L201&lt;&gt;"","支払済","未払"))</f>
        <v/>
      </c>
    </row>
    <row r="202">
      <c r="F202" s="22" t="inlineStr">
        <is>
          <t>合計</t>
        </is>
      </c>
      <c r="G202" s="23">
        <f>SUM(G2:G201)</f>
        <v/>
      </c>
      <c r="H202" s="23">
        <f>SUM(H2:H201)</f>
        <v/>
      </c>
      <c r="I202" s="23">
        <f>SUM(I2:I201)</f>
        <v/>
      </c>
      <c r="M202" s="23">
        <f>SUM(M2:M201)</f>
        <v/>
      </c>
      <c r="N202" s="25">
        <f>COUNTIF(N2:N201,"未払")&amp;"件未払"</f>
        <v/>
      </c>
    </row>
  </sheetData>
  <autoFilter ref="A1:N201"/>
  <conditionalFormatting sqref="N2:N201">
    <cfRule type="expression" priority="1" dxfId="0">
      <formula>N2="未払"</formula>
    </cfRule>
    <cfRule type="expression" priority="2" dxfId="1">
      <formula>N2="支払済"</formula>
    </cfRule>
  </conditionalFormatting>
  <conditionalFormatting sqref="E2:E201">
    <cfRule type="expression" priority="3" dxfId="2">
      <formula>E2="なし"</formula>
    </cfRule>
  </conditionalFormatting>
  <dataValidations count="1">
    <dataValidation sqref="C2:C201" showDropDown="0" showInputMessage="0" showErrorMessage="0" allowBlank="1" type="list">
      <formula1>"梶原通信,秀電工,井本貴史,LLS電気,株式会社トラストテクノス,株式会社RISE"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22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 ht="30" customHeight="1">
      <c r="A1" s="26" t="inlineStr">
        <is>
          <t>No</t>
        </is>
      </c>
      <c r="B1" s="26" t="inlineStr">
        <is>
          <t>登録日</t>
        </is>
      </c>
      <c r="C1" s="26" t="inlineStr">
        <is>
          <t>得意先名</t>
        </is>
      </c>
      <c r="D1" s="26" t="inlineStr">
        <is>
          <t>案件名</t>
        </is>
      </c>
      <c r="E1" s="26" t="inlineStr">
        <is>
          <t>請求額(税抜)</t>
        </is>
      </c>
      <c r="F1" s="26" t="inlineStr">
        <is>
          <t>消費税(10%)</t>
        </is>
      </c>
      <c r="G1" s="26" t="inlineStr">
        <is>
          <t>合計(税込)</t>
        </is>
      </c>
      <c r="H1" s="26" t="inlineStr">
        <is>
          <t>請求日</t>
        </is>
      </c>
      <c r="I1" s="26" t="inlineStr">
        <is>
          <t>入金期限</t>
        </is>
      </c>
      <c r="J1" s="26" t="inlineStr">
        <is>
          <t>入金日</t>
        </is>
      </c>
      <c r="K1" s="26" t="inlineStr">
        <is>
          <t>入金額</t>
        </is>
      </c>
      <c r="L1" s="26" t="inlineStr">
        <is>
          <t>状況</t>
        </is>
      </c>
    </row>
    <row r="2">
      <c r="A2" s="14">
        <f>IF(C2&lt;&gt;"",ROW()-1,"")</f>
        <v/>
      </c>
      <c r="B2" s="15" t="n"/>
      <c r="C2" s="16" t="n"/>
      <c r="D2" s="16" t="n"/>
      <c r="E2" s="17" t="n"/>
      <c r="F2" s="17">
        <f>IF(E2="","",E2*0.1)</f>
        <v/>
      </c>
      <c r="G2" s="17">
        <f>IF(E2="","",E2+F2)</f>
        <v/>
      </c>
      <c r="H2" s="15" t="n"/>
      <c r="I2" s="15" t="n"/>
      <c r="J2" s="15" t="n"/>
      <c r="K2" s="17" t="n"/>
      <c r="L2" s="14">
        <f>IF(C2="","",IF(J2="","未入金",IF(K2&gt;=G2,"入金済","一部入金")))</f>
        <v/>
      </c>
    </row>
    <row r="3">
      <c r="A3" s="18">
        <f>IF(C3&lt;&gt;"",ROW()-1,"")</f>
        <v/>
      </c>
      <c r="B3" s="19" t="n"/>
      <c r="C3" s="20" t="n"/>
      <c r="D3" s="20" t="n"/>
      <c r="E3" s="21" t="n"/>
      <c r="F3" s="21">
        <f>IF(E3="","",E3*0.1)</f>
        <v/>
      </c>
      <c r="G3" s="21">
        <f>IF(E3="","",E3+F3)</f>
        <v/>
      </c>
      <c r="H3" s="19" t="n"/>
      <c r="I3" s="19" t="n"/>
      <c r="J3" s="19" t="n"/>
      <c r="K3" s="21" t="n"/>
      <c r="L3" s="18">
        <f>IF(C3="","",IF(J3="","未入金",IF(K3&gt;=G3,"入金済","一部入金")))</f>
        <v/>
      </c>
    </row>
    <row r="4">
      <c r="A4" s="14">
        <f>IF(C4&lt;&gt;"",ROW()-1,"")</f>
        <v/>
      </c>
      <c r="B4" s="15" t="n"/>
      <c r="C4" s="16" t="n"/>
      <c r="D4" s="16" t="n"/>
      <c r="E4" s="17" t="n"/>
      <c r="F4" s="17">
        <f>IF(E4="","",E4*0.1)</f>
        <v/>
      </c>
      <c r="G4" s="17">
        <f>IF(E4="","",E4+F4)</f>
        <v/>
      </c>
      <c r="H4" s="15" t="n"/>
      <c r="I4" s="15" t="n"/>
      <c r="J4" s="15" t="n"/>
      <c r="K4" s="17" t="n"/>
      <c r="L4" s="14">
        <f>IF(C4="","",IF(J4="","未入金",IF(K4&gt;=G4,"入金済","一部入金")))</f>
        <v/>
      </c>
    </row>
    <row r="5">
      <c r="A5" s="18">
        <f>IF(C5&lt;&gt;"",ROW()-1,"")</f>
        <v/>
      </c>
      <c r="B5" s="19" t="n"/>
      <c r="C5" s="20" t="n"/>
      <c r="D5" s="20" t="n"/>
      <c r="E5" s="21" t="n"/>
      <c r="F5" s="21">
        <f>IF(E5="","",E5*0.1)</f>
        <v/>
      </c>
      <c r="G5" s="21">
        <f>IF(E5="","",E5+F5)</f>
        <v/>
      </c>
      <c r="H5" s="19" t="n"/>
      <c r="I5" s="19" t="n"/>
      <c r="J5" s="19" t="n"/>
      <c r="K5" s="21" t="n"/>
      <c r="L5" s="18">
        <f>IF(C5="","",IF(J5="","未入金",IF(K5&gt;=G5,"入金済","一部入金")))</f>
        <v/>
      </c>
    </row>
    <row r="6">
      <c r="A6" s="14">
        <f>IF(C6&lt;&gt;"",ROW()-1,"")</f>
        <v/>
      </c>
      <c r="B6" s="15" t="n"/>
      <c r="C6" s="16" t="n"/>
      <c r="D6" s="16" t="n"/>
      <c r="E6" s="17" t="n"/>
      <c r="F6" s="17">
        <f>IF(E6="","",E6*0.1)</f>
        <v/>
      </c>
      <c r="G6" s="17">
        <f>IF(E6="","",E6+F6)</f>
        <v/>
      </c>
      <c r="H6" s="15" t="n"/>
      <c r="I6" s="15" t="n"/>
      <c r="J6" s="15" t="n"/>
      <c r="K6" s="17" t="n"/>
      <c r="L6" s="14">
        <f>IF(C6="","",IF(J6="","未入金",IF(K6&gt;=G6,"入金済","一部入金")))</f>
        <v/>
      </c>
    </row>
    <row r="7">
      <c r="A7" s="18">
        <f>IF(C7&lt;&gt;"",ROW()-1,"")</f>
        <v/>
      </c>
      <c r="B7" s="19" t="n"/>
      <c r="C7" s="20" t="n"/>
      <c r="D7" s="20" t="n"/>
      <c r="E7" s="21" t="n"/>
      <c r="F7" s="21">
        <f>IF(E7="","",E7*0.1)</f>
        <v/>
      </c>
      <c r="G7" s="21">
        <f>IF(E7="","",E7+F7)</f>
        <v/>
      </c>
      <c r="H7" s="19" t="n"/>
      <c r="I7" s="19" t="n"/>
      <c r="J7" s="19" t="n"/>
      <c r="K7" s="21" t="n"/>
      <c r="L7" s="18">
        <f>IF(C7="","",IF(J7="","未入金",IF(K7&gt;=G7,"入金済","一部入金")))</f>
        <v/>
      </c>
    </row>
    <row r="8">
      <c r="A8" s="14">
        <f>IF(C8&lt;&gt;"",ROW()-1,"")</f>
        <v/>
      </c>
      <c r="B8" s="15" t="n"/>
      <c r="C8" s="16" t="n"/>
      <c r="D8" s="16" t="n"/>
      <c r="E8" s="17" t="n"/>
      <c r="F8" s="17">
        <f>IF(E8="","",E8*0.1)</f>
        <v/>
      </c>
      <c r="G8" s="17">
        <f>IF(E8="","",E8+F8)</f>
        <v/>
      </c>
      <c r="H8" s="15" t="n"/>
      <c r="I8" s="15" t="n"/>
      <c r="J8" s="15" t="n"/>
      <c r="K8" s="17" t="n"/>
      <c r="L8" s="14">
        <f>IF(C8="","",IF(J8="","未入金",IF(K8&gt;=G8,"入金済","一部入金")))</f>
        <v/>
      </c>
    </row>
    <row r="9">
      <c r="A9" s="18">
        <f>IF(C9&lt;&gt;"",ROW()-1,"")</f>
        <v/>
      </c>
      <c r="B9" s="19" t="n"/>
      <c r="C9" s="20" t="n"/>
      <c r="D9" s="20" t="n"/>
      <c r="E9" s="21" t="n"/>
      <c r="F9" s="21">
        <f>IF(E9="","",E9*0.1)</f>
        <v/>
      </c>
      <c r="G9" s="21">
        <f>IF(E9="","",E9+F9)</f>
        <v/>
      </c>
      <c r="H9" s="19" t="n"/>
      <c r="I9" s="19" t="n"/>
      <c r="J9" s="19" t="n"/>
      <c r="K9" s="21" t="n"/>
      <c r="L9" s="18">
        <f>IF(C9="","",IF(J9="","未入金",IF(K9&gt;=G9,"入金済","一部入金")))</f>
        <v/>
      </c>
    </row>
    <row r="10">
      <c r="A10" s="14">
        <f>IF(C10&lt;&gt;"",ROW()-1,"")</f>
        <v/>
      </c>
      <c r="B10" s="15" t="n"/>
      <c r="C10" s="16" t="n"/>
      <c r="D10" s="16" t="n"/>
      <c r="E10" s="17" t="n"/>
      <c r="F10" s="17">
        <f>IF(E10="","",E10*0.1)</f>
        <v/>
      </c>
      <c r="G10" s="17">
        <f>IF(E10="","",E10+F10)</f>
        <v/>
      </c>
      <c r="H10" s="15" t="n"/>
      <c r="I10" s="15" t="n"/>
      <c r="J10" s="15" t="n"/>
      <c r="K10" s="17" t="n"/>
      <c r="L10" s="14">
        <f>IF(C10="","",IF(J10="","未入金",IF(K10&gt;=G10,"入金済","一部入金")))</f>
        <v/>
      </c>
    </row>
    <row r="11">
      <c r="A11" s="18">
        <f>IF(C11&lt;&gt;"",ROW()-1,"")</f>
        <v/>
      </c>
      <c r="B11" s="19" t="n"/>
      <c r="C11" s="20" t="n"/>
      <c r="D11" s="20" t="n"/>
      <c r="E11" s="21" t="n"/>
      <c r="F11" s="21">
        <f>IF(E11="","",E11*0.1)</f>
        <v/>
      </c>
      <c r="G11" s="21">
        <f>IF(E11="","",E11+F11)</f>
        <v/>
      </c>
      <c r="H11" s="19" t="n"/>
      <c r="I11" s="19" t="n"/>
      <c r="J11" s="19" t="n"/>
      <c r="K11" s="21" t="n"/>
      <c r="L11" s="18">
        <f>IF(C11="","",IF(J11="","未入金",IF(K11&gt;=G11,"入金済","一部入金")))</f>
        <v/>
      </c>
    </row>
    <row r="12">
      <c r="A12" s="14">
        <f>IF(C12&lt;&gt;"",ROW()-1,"")</f>
        <v/>
      </c>
      <c r="B12" s="15" t="n"/>
      <c r="C12" s="16" t="n"/>
      <c r="D12" s="16" t="n"/>
      <c r="E12" s="17" t="n"/>
      <c r="F12" s="17">
        <f>IF(E12="","",E12*0.1)</f>
        <v/>
      </c>
      <c r="G12" s="17">
        <f>IF(E12="","",E12+F12)</f>
        <v/>
      </c>
      <c r="H12" s="15" t="n"/>
      <c r="I12" s="15" t="n"/>
      <c r="J12" s="15" t="n"/>
      <c r="K12" s="17" t="n"/>
      <c r="L12" s="14">
        <f>IF(C12="","",IF(J12="","未入金",IF(K12&gt;=G12,"入金済","一部入金")))</f>
        <v/>
      </c>
    </row>
    <row r="13">
      <c r="A13" s="18">
        <f>IF(C13&lt;&gt;"",ROW()-1,"")</f>
        <v/>
      </c>
      <c r="B13" s="19" t="n"/>
      <c r="C13" s="20" t="n"/>
      <c r="D13" s="20" t="n"/>
      <c r="E13" s="21" t="n"/>
      <c r="F13" s="21">
        <f>IF(E13="","",E13*0.1)</f>
        <v/>
      </c>
      <c r="G13" s="21">
        <f>IF(E13="","",E13+F13)</f>
        <v/>
      </c>
      <c r="H13" s="19" t="n"/>
      <c r="I13" s="19" t="n"/>
      <c r="J13" s="19" t="n"/>
      <c r="K13" s="21" t="n"/>
      <c r="L13" s="18">
        <f>IF(C13="","",IF(J13="","未入金",IF(K13&gt;=G13,"入金済","一部入金")))</f>
        <v/>
      </c>
    </row>
    <row r="14">
      <c r="A14" s="14">
        <f>IF(C14&lt;&gt;"",ROW()-1,"")</f>
        <v/>
      </c>
      <c r="B14" s="15" t="n"/>
      <c r="C14" s="16" t="n"/>
      <c r="D14" s="16" t="n"/>
      <c r="E14" s="17" t="n"/>
      <c r="F14" s="17">
        <f>IF(E14="","",E14*0.1)</f>
        <v/>
      </c>
      <c r="G14" s="17">
        <f>IF(E14="","",E14+F14)</f>
        <v/>
      </c>
      <c r="H14" s="15" t="n"/>
      <c r="I14" s="15" t="n"/>
      <c r="J14" s="15" t="n"/>
      <c r="K14" s="17" t="n"/>
      <c r="L14" s="14">
        <f>IF(C14="","",IF(J14="","未入金",IF(K14&gt;=G14,"入金済","一部入金")))</f>
        <v/>
      </c>
    </row>
    <row r="15">
      <c r="A15" s="18">
        <f>IF(C15&lt;&gt;"",ROW()-1,"")</f>
        <v/>
      </c>
      <c r="B15" s="19" t="n"/>
      <c r="C15" s="20" t="n"/>
      <c r="D15" s="20" t="n"/>
      <c r="E15" s="21" t="n"/>
      <c r="F15" s="21">
        <f>IF(E15="","",E15*0.1)</f>
        <v/>
      </c>
      <c r="G15" s="21">
        <f>IF(E15="","",E15+F15)</f>
        <v/>
      </c>
      <c r="H15" s="19" t="n"/>
      <c r="I15" s="19" t="n"/>
      <c r="J15" s="19" t="n"/>
      <c r="K15" s="21" t="n"/>
      <c r="L15" s="18">
        <f>IF(C15="","",IF(J15="","未入金",IF(K15&gt;=G15,"入金済","一部入金")))</f>
        <v/>
      </c>
    </row>
    <row r="16">
      <c r="A16" s="14">
        <f>IF(C16&lt;&gt;"",ROW()-1,"")</f>
        <v/>
      </c>
      <c r="B16" s="15" t="n"/>
      <c r="C16" s="16" t="n"/>
      <c r="D16" s="16" t="n"/>
      <c r="E16" s="17" t="n"/>
      <c r="F16" s="17">
        <f>IF(E16="","",E16*0.1)</f>
        <v/>
      </c>
      <c r="G16" s="17">
        <f>IF(E16="","",E16+F16)</f>
        <v/>
      </c>
      <c r="H16" s="15" t="n"/>
      <c r="I16" s="15" t="n"/>
      <c r="J16" s="15" t="n"/>
      <c r="K16" s="17" t="n"/>
      <c r="L16" s="14">
        <f>IF(C16="","",IF(J16="","未入金",IF(K16&gt;=G16,"入金済","一部入金")))</f>
        <v/>
      </c>
    </row>
    <row r="17">
      <c r="A17" s="18">
        <f>IF(C17&lt;&gt;"",ROW()-1,"")</f>
        <v/>
      </c>
      <c r="B17" s="19" t="n"/>
      <c r="C17" s="20" t="n"/>
      <c r="D17" s="20" t="n"/>
      <c r="E17" s="21" t="n"/>
      <c r="F17" s="21">
        <f>IF(E17="","",E17*0.1)</f>
        <v/>
      </c>
      <c r="G17" s="21">
        <f>IF(E17="","",E17+F17)</f>
        <v/>
      </c>
      <c r="H17" s="19" t="n"/>
      <c r="I17" s="19" t="n"/>
      <c r="J17" s="19" t="n"/>
      <c r="K17" s="21" t="n"/>
      <c r="L17" s="18">
        <f>IF(C17="","",IF(J17="","未入金",IF(K17&gt;=G17,"入金済","一部入金")))</f>
        <v/>
      </c>
    </row>
    <row r="18">
      <c r="A18" s="14">
        <f>IF(C18&lt;&gt;"",ROW()-1,"")</f>
        <v/>
      </c>
      <c r="B18" s="15" t="n"/>
      <c r="C18" s="16" t="n"/>
      <c r="D18" s="16" t="n"/>
      <c r="E18" s="17" t="n"/>
      <c r="F18" s="17">
        <f>IF(E18="","",E18*0.1)</f>
        <v/>
      </c>
      <c r="G18" s="17">
        <f>IF(E18="","",E18+F18)</f>
        <v/>
      </c>
      <c r="H18" s="15" t="n"/>
      <c r="I18" s="15" t="n"/>
      <c r="J18" s="15" t="n"/>
      <c r="K18" s="17" t="n"/>
      <c r="L18" s="14">
        <f>IF(C18="","",IF(J18="","未入金",IF(K18&gt;=G18,"入金済","一部入金")))</f>
        <v/>
      </c>
    </row>
    <row r="19">
      <c r="A19" s="18">
        <f>IF(C19&lt;&gt;"",ROW()-1,"")</f>
        <v/>
      </c>
      <c r="B19" s="19" t="n"/>
      <c r="C19" s="20" t="n"/>
      <c r="D19" s="20" t="n"/>
      <c r="E19" s="21" t="n"/>
      <c r="F19" s="21">
        <f>IF(E19="","",E19*0.1)</f>
        <v/>
      </c>
      <c r="G19" s="21">
        <f>IF(E19="","",E19+F19)</f>
        <v/>
      </c>
      <c r="H19" s="19" t="n"/>
      <c r="I19" s="19" t="n"/>
      <c r="J19" s="19" t="n"/>
      <c r="K19" s="21" t="n"/>
      <c r="L19" s="18">
        <f>IF(C19="","",IF(J19="","未入金",IF(K19&gt;=G19,"入金済","一部入金")))</f>
        <v/>
      </c>
    </row>
    <row r="20">
      <c r="A20" s="14">
        <f>IF(C20&lt;&gt;"",ROW()-1,"")</f>
        <v/>
      </c>
      <c r="B20" s="15" t="n"/>
      <c r="C20" s="16" t="n"/>
      <c r="D20" s="16" t="n"/>
      <c r="E20" s="17" t="n"/>
      <c r="F20" s="17">
        <f>IF(E20="","",E20*0.1)</f>
        <v/>
      </c>
      <c r="G20" s="17">
        <f>IF(E20="","",E20+F20)</f>
        <v/>
      </c>
      <c r="H20" s="15" t="n"/>
      <c r="I20" s="15" t="n"/>
      <c r="J20" s="15" t="n"/>
      <c r="K20" s="17" t="n"/>
      <c r="L20" s="14">
        <f>IF(C20="","",IF(J20="","未入金",IF(K20&gt;=G20,"入金済","一部入金")))</f>
        <v/>
      </c>
    </row>
    <row r="21">
      <c r="A21" s="18">
        <f>IF(C21&lt;&gt;"",ROW()-1,"")</f>
        <v/>
      </c>
      <c r="B21" s="19" t="n"/>
      <c r="C21" s="20" t="n"/>
      <c r="D21" s="20" t="n"/>
      <c r="E21" s="21" t="n"/>
      <c r="F21" s="21">
        <f>IF(E21="","",E21*0.1)</f>
        <v/>
      </c>
      <c r="G21" s="21">
        <f>IF(E21="","",E21+F21)</f>
        <v/>
      </c>
      <c r="H21" s="19" t="n"/>
      <c r="I21" s="19" t="n"/>
      <c r="J21" s="19" t="n"/>
      <c r="K21" s="21" t="n"/>
      <c r="L21" s="18">
        <f>IF(C21="","",IF(J21="","未入金",IF(K21&gt;=G21,"入金済","一部入金")))</f>
        <v/>
      </c>
    </row>
    <row r="22">
      <c r="A22" s="14">
        <f>IF(C22&lt;&gt;"",ROW()-1,"")</f>
        <v/>
      </c>
      <c r="B22" s="15" t="n"/>
      <c r="C22" s="16" t="n"/>
      <c r="D22" s="16" t="n"/>
      <c r="E22" s="17" t="n"/>
      <c r="F22" s="17">
        <f>IF(E22="","",E22*0.1)</f>
        <v/>
      </c>
      <c r="G22" s="17">
        <f>IF(E22="","",E22+F22)</f>
        <v/>
      </c>
      <c r="H22" s="15" t="n"/>
      <c r="I22" s="15" t="n"/>
      <c r="J22" s="15" t="n"/>
      <c r="K22" s="17" t="n"/>
      <c r="L22" s="14">
        <f>IF(C22="","",IF(J22="","未入金",IF(K22&gt;=G22,"入金済","一部入金")))</f>
        <v/>
      </c>
    </row>
    <row r="23">
      <c r="A23" s="18">
        <f>IF(C23&lt;&gt;"",ROW()-1,"")</f>
        <v/>
      </c>
      <c r="B23" s="19" t="n"/>
      <c r="C23" s="20" t="n"/>
      <c r="D23" s="20" t="n"/>
      <c r="E23" s="21" t="n"/>
      <c r="F23" s="21">
        <f>IF(E23="","",E23*0.1)</f>
        <v/>
      </c>
      <c r="G23" s="21">
        <f>IF(E23="","",E23+F23)</f>
        <v/>
      </c>
      <c r="H23" s="19" t="n"/>
      <c r="I23" s="19" t="n"/>
      <c r="J23" s="19" t="n"/>
      <c r="K23" s="21" t="n"/>
      <c r="L23" s="18">
        <f>IF(C23="","",IF(J23="","未入金",IF(K23&gt;=G23,"入金済","一部入金")))</f>
        <v/>
      </c>
    </row>
    <row r="24">
      <c r="A24" s="14">
        <f>IF(C24&lt;&gt;"",ROW()-1,"")</f>
        <v/>
      </c>
      <c r="B24" s="15" t="n"/>
      <c r="C24" s="16" t="n"/>
      <c r="D24" s="16" t="n"/>
      <c r="E24" s="17" t="n"/>
      <c r="F24" s="17">
        <f>IF(E24="","",E24*0.1)</f>
        <v/>
      </c>
      <c r="G24" s="17">
        <f>IF(E24="","",E24+F24)</f>
        <v/>
      </c>
      <c r="H24" s="15" t="n"/>
      <c r="I24" s="15" t="n"/>
      <c r="J24" s="15" t="n"/>
      <c r="K24" s="17" t="n"/>
      <c r="L24" s="14">
        <f>IF(C24="","",IF(J24="","未入金",IF(K24&gt;=G24,"入金済","一部入金")))</f>
        <v/>
      </c>
    </row>
    <row r="25">
      <c r="A25" s="18">
        <f>IF(C25&lt;&gt;"",ROW()-1,"")</f>
        <v/>
      </c>
      <c r="B25" s="19" t="n"/>
      <c r="C25" s="20" t="n"/>
      <c r="D25" s="20" t="n"/>
      <c r="E25" s="21" t="n"/>
      <c r="F25" s="21">
        <f>IF(E25="","",E25*0.1)</f>
        <v/>
      </c>
      <c r="G25" s="21">
        <f>IF(E25="","",E25+F25)</f>
        <v/>
      </c>
      <c r="H25" s="19" t="n"/>
      <c r="I25" s="19" t="n"/>
      <c r="J25" s="19" t="n"/>
      <c r="K25" s="21" t="n"/>
      <c r="L25" s="18">
        <f>IF(C25="","",IF(J25="","未入金",IF(K25&gt;=G25,"入金済","一部入金")))</f>
        <v/>
      </c>
    </row>
    <row r="26">
      <c r="A26" s="14">
        <f>IF(C26&lt;&gt;"",ROW()-1,"")</f>
        <v/>
      </c>
      <c r="B26" s="15" t="n"/>
      <c r="C26" s="16" t="n"/>
      <c r="D26" s="16" t="n"/>
      <c r="E26" s="17" t="n"/>
      <c r="F26" s="17">
        <f>IF(E26="","",E26*0.1)</f>
        <v/>
      </c>
      <c r="G26" s="17">
        <f>IF(E26="","",E26+F26)</f>
        <v/>
      </c>
      <c r="H26" s="15" t="n"/>
      <c r="I26" s="15" t="n"/>
      <c r="J26" s="15" t="n"/>
      <c r="K26" s="17" t="n"/>
      <c r="L26" s="14">
        <f>IF(C26="","",IF(J26="","未入金",IF(K26&gt;=G26,"入金済","一部入金")))</f>
        <v/>
      </c>
    </row>
    <row r="27">
      <c r="A27" s="18">
        <f>IF(C27&lt;&gt;"",ROW()-1,"")</f>
        <v/>
      </c>
      <c r="B27" s="19" t="n"/>
      <c r="C27" s="20" t="n"/>
      <c r="D27" s="20" t="n"/>
      <c r="E27" s="21" t="n"/>
      <c r="F27" s="21">
        <f>IF(E27="","",E27*0.1)</f>
        <v/>
      </c>
      <c r="G27" s="21">
        <f>IF(E27="","",E27+F27)</f>
        <v/>
      </c>
      <c r="H27" s="19" t="n"/>
      <c r="I27" s="19" t="n"/>
      <c r="J27" s="19" t="n"/>
      <c r="K27" s="21" t="n"/>
      <c r="L27" s="18">
        <f>IF(C27="","",IF(J27="","未入金",IF(K27&gt;=G27,"入金済","一部入金")))</f>
        <v/>
      </c>
    </row>
    <row r="28">
      <c r="A28" s="14">
        <f>IF(C28&lt;&gt;"",ROW()-1,"")</f>
        <v/>
      </c>
      <c r="B28" s="15" t="n"/>
      <c r="C28" s="16" t="n"/>
      <c r="D28" s="16" t="n"/>
      <c r="E28" s="17" t="n"/>
      <c r="F28" s="17">
        <f>IF(E28="","",E28*0.1)</f>
        <v/>
      </c>
      <c r="G28" s="17">
        <f>IF(E28="","",E28+F28)</f>
        <v/>
      </c>
      <c r="H28" s="15" t="n"/>
      <c r="I28" s="15" t="n"/>
      <c r="J28" s="15" t="n"/>
      <c r="K28" s="17" t="n"/>
      <c r="L28" s="14">
        <f>IF(C28="","",IF(J28="","未入金",IF(K28&gt;=G28,"入金済","一部入金")))</f>
        <v/>
      </c>
    </row>
    <row r="29">
      <c r="A29" s="18">
        <f>IF(C29&lt;&gt;"",ROW()-1,"")</f>
        <v/>
      </c>
      <c r="B29" s="19" t="n"/>
      <c r="C29" s="20" t="n"/>
      <c r="D29" s="20" t="n"/>
      <c r="E29" s="21" t="n"/>
      <c r="F29" s="21">
        <f>IF(E29="","",E29*0.1)</f>
        <v/>
      </c>
      <c r="G29" s="21">
        <f>IF(E29="","",E29+F29)</f>
        <v/>
      </c>
      <c r="H29" s="19" t="n"/>
      <c r="I29" s="19" t="n"/>
      <c r="J29" s="19" t="n"/>
      <c r="K29" s="21" t="n"/>
      <c r="L29" s="18">
        <f>IF(C29="","",IF(J29="","未入金",IF(K29&gt;=G29,"入金済","一部入金")))</f>
        <v/>
      </c>
    </row>
    <row r="30">
      <c r="A30" s="14">
        <f>IF(C30&lt;&gt;"",ROW()-1,"")</f>
        <v/>
      </c>
      <c r="B30" s="15" t="n"/>
      <c r="C30" s="16" t="n"/>
      <c r="D30" s="16" t="n"/>
      <c r="E30" s="17" t="n"/>
      <c r="F30" s="17">
        <f>IF(E30="","",E30*0.1)</f>
        <v/>
      </c>
      <c r="G30" s="17">
        <f>IF(E30="","",E30+F30)</f>
        <v/>
      </c>
      <c r="H30" s="15" t="n"/>
      <c r="I30" s="15" t="n"/>
      <c r="J30" s="15" t="n"/>
      <c r="K30" s="17" t="n"/>
      <c r="L30" s="14">
        <f>IF(C30="","",IF(J30="","未入金",IF(K30&gt;=G30,"入金済","一部入金")))</f>
        <v/>
      </c>
    </row>
    <row r="31">
      <c r="A31" s="18">
        <f>IF(C31&lt;&gt;"",ROW()-1,"")</f>
        <v/>
      </c>
      <c r="B31" s="19" t="n"/>
      <c r="C31" s="20" t="n"/>
      <c r="D31" s="20" t="n"/>
      <c r="E31" s="21" t="n"/>
      <c r="F31" s="21">
        <f>IF(E31="","",E31*0.1)</f>
        <v/>
      </c>
      <c r="G31" s="21">
        <f>IF(E31="","",E31+F31)</f>
        <v/>
      </c>
      <c r="H31" s="19" t="n"/>
      <c r="I31" s="19" t="n"/>
      <c r="J31" s="19" t="n"/>
      <c r="K31" s="21" t="n"/>
      <c r="L31" s="18">
        <f>IF(C31="","",IF(J31="","未入金",IF(K31&gt;=G31,"入金済","一部入金")))</f>
        <v/>
      </c>
    </row>
    <row r="32">
      <c r="A32" s="14">
        <f>IF(C32&lt;&gt;"",ROW()-1,"")</f>
        <v/>
      </c>
      <c r="B32" s="15" t="n"/>
      <c r="C32" s="16" t="n"/>
      <c r="D32" s="16" t="n"/>
      <c r="E32" s="17" t="n"/>
      <c r="F32" s="17">
        <f>IF(E32="","",E32*0.1)</f>
        <v/>
      </c>
      <c r="G32" s="17">
        <f>IF(E32="","",E32+F32)</f>
        <v/>
      </c>
      <c r="H32" s="15" t="n"/>
      <c r="I32" s="15" t="n"/>
      <c r="J32" s="15" t="n"/>
      <c r="K32" s="17" t="n"/>
      <c r="L32" s="14">
        <f>IF(C32="","",IF(J32="","未入金",IF(K32&gt;=G32,"入金済","一部入金")))</f>
        <v/>
      </c>
    </row>
    <row r="33">
      <c r="A33" s="18">
        <f>IF(C33&lt;&gt;"",ROW()-1,"")</f>
        <v/>
      </c>
      <c r="B33" s="19" t="n"/>
      <c r="C33" s="20" t="n"/>
      <c r="D33" s="20" t="n"/>
      <c r="E33" s="21" t="n"/>
      <c r="F33" s="21">
        <f>IF(E33="","",E33*0.1)</f>
        <v/>
      </c>
      <c r="G33" s="21">
        <f>IF(E33="","",E33+F33)</f>
        <v/>
      </c>
      <c r="H33" s="19" t="n"/>
      <c r="I33" s="19" t="n"/>
      <c r="J33" s="19" t="n"/>
      <c r="K33" s="21" t="n"/>
      <c r="L33" s="18">
        <f>IF(C33="","",IF(J33="","未入金",IF(K33&gt;=G33,"入金済","一部入金")))</f>
        <v/>
      </c>
    </row>
    <row r="34">
      <c r="A34" s="14">
        <f>IF(C34&lt;&gt;"",ROW()-1,"")</f>
        <v/>
      </c>
      <c r="B34" s="15" t="n"/>
      <c r="C34" s="16" t="n"/>
      <c r="D34" s="16" t="n"/>
      <c r="E34" s="17" t="n"/>
      <c r="F34" s="17">
        <f>IF(E34="","",E34*0.1)</f>
        <v/>
      </c>
      <c r="G34" s="17">
        <f>IF(E34="","",E34+F34)</f>
        <v/>
      </c>
      <c r="H34" s="15" t="n"/>
      <c r="I34" s="15" t="n"/>
      <c r="J34" s="15" t="n"/>
      <c r="K34" s="17" t="n"/>
      <c r="L34" s="14">
        <f>IF(C34="","",IF(J34="","未入金",IF(K34&gt;=G34,"入金済","一部入金")))</f>
        <v/>
      </c>
    </row>
    <row r="35">
      <c r="A35" s="18">
        <f>IF(C35&lt;&gt;"",ROW()-1,"")</f>
        <v/>
      </c>
      <c r="B35" s="19" t="n"/>
      <c r="C35" s="20" t="n"/>
      <c r="D35" s="20" t="n"/>
      <c r="E35" s="21" t="n"/>
      <c r="F35" s="21">
        <f>IF(E35="","",E35*0.1)</f>
        <v/>
      </c>
      <c r="G35" s="21">
        <f>IF(E35="","",E35+F35)</f>
        <v/>
      </c>
      <c r="H35" s="19" t="n"/>
      <c r="I35" s="19" t="n"/>
      <c r="J35" s="19" t="n"/>
      <c r="K35" s="21" t="n"/>
      <c r="L35" s="18">
        <f>IF(C35="","",IF(J35="","未入金",IF(K35&gt;=G35,"入金済","一部入金")))</f>
        <v/>
      </c>
    </row>
    <row r="36">
      <c r="A36" s="14">
        <f>IF(C36&lt;&gt;"",ROW()-1,"")</f>
        <v/>
      </c>
      <c r="B36" s="15" t="n"/>
      <c r="C36" s="16" t="n"/>
      <c r="D36" s="16" t="n"/>
      <c r="E36" s="17" t="n"/>
      <c r="F36" s="17">
        <f>IF(E36="","",E36*0.1)</f>
        <v/>
      </c>
      <c r="G36" s="17">
        <f>IF(E36="","",E36+F36)</f>
        <v/>
      </c>
      <c r="H36" s="15" t="n"/>
      <c r="I36" s="15" t="n"/>
      <c r="J36" s="15" t="n"/>
      <c r="K36" s="17" t="n"/>
      <c r="L36" s="14">
        <f>IF(C36="","",IF(J36="","未入金",IF(K36&gt;=G36,"入金済","一部入金")))</f>
        <v/>
      </c>
    </row>
    <row r="37">
      <c r="A37" s="18">
        <f>IF(C37&lt;&gt;"",ROW()-1,"")</f>
        <v/>
      </c>
      <c r="B37" s="19" t="n"/>
      <c r="C37" s="20" t="n"/>
      <c r="D37" s="20" t="n"/>
      <c r="E37" s="21" t="n"/>
      <c r="F37" s="21">
        <f>IF(E37="","",E37*0.1)</f>
        <v/>
      </c>
      <c r="G37" s="21">
        <f>IF(E37="","",E37+F37)</f>
        <v/>
      </c>
      <c r="H37" s="19" t="n"/>
      <c r="I37" s="19" t="n"/>
      <c r="J37" s="19" t="n"/>
      <c r="K37" s="21" t="n"/>
      <c r="L37" s="18">
        <f>IF(C37="","",IF(J37="","未入金",IF(K37&gt;=G37,"入金済","一部入金")))</f>
        <v/>
      </c>
    </row>
    <row r="38">
      <c r="A38" s="14">
        <f>IF(C38&lt;&gt;"",ROW()-1,"")</f>
        <v/>
      </c>
      <c r="B38" s="15" t="n"/>
      <c r="C38" s="16" t="n"/>
      <c r="D38" s="16" t="n"/>
      <c r="E38" s="17" t="n"/>
      <c r="F38" s="17">
        <f>IF(E38="","",E38*0.1)</f>
        <v/>
      </c>
      <c r="G38" s="17">
        <f>IF(E38="","",E38+F38)</f>
        <v/>
      </c>
      <c r="H38" s="15" t="n"/>
      <c r="I38" s="15" t="n"/>
      <c r="J38" s="15" t="n"/>
      <c r="K38" s="17" t="n"/>
      <c r="L38" s="14">
        <f>IF(C38="","",IF(J38="","未入金",IF(K38&gt;=G38,"入金済","一部入金")))</f>
        <v/>
      </c>
    </row>
    <row r="39">
      <c r="A39" s="18">
        <f>IF(C39&lt;&gt;"",ROW()-1,"")</f>
        <v/>
      </c>
      <c r="B39" s="19" t="n"/>
      <c r="C39" s="20" t="n"/>
      <c r="D39" s="20" t="n"/>
      <c r="E39" s="21" t="n"/>
      <c r="F39" s="21">
        <f>IF(E39="","",E39*0.1)</f>
        <v/>
      </c>
      <c r="G39" s="21">
        <f>IF(E39="","",E39+F39)</f>
        <v/>
      </c>
      <c r="H39" s="19" t="n"/>
      <c r="I39" s="19" t="n"/>
      <c r="J39" s="19" t="n"/>
      <c r="K39" s="21" t="n"/>
      <c r="L39" s="18">
        <f>IF(C39="","",IF(J39="","未入金",IF(K39&gt;=G39,"入金済","一部入金")))</f>
        <v/>
      </c>
    </row>
    <row r="40">
      <c r="A40" s="14">
        <f>IF(C40&lt;&gt;"",ROW()-1,"")</f>
        <v/>
      </c>
      <c r="B40" s="15" t="n"/>
      <c r="C40" s="16" t="n"/>
      <c r="D40" s="16" t="n"/>
      <c r="E40" s="17" t="n"/>
      <c r="F40" s="17">
        <f>IF(E40="","",E40*0.1)</f>
        <v/>
      </c>
      <c r="G40" s="17">
        <f>IF(E40="","",E40+F40)</f>
        <v/>
      </c>
      <c r="H40" s="15" t="n"/>
      <c r="I40" s="15" t="n"/>
      <c r="J40" s="15" t="n"/>
      <c r="K40" s="17" t="n"/>
      <c r="L40" s="14">
        <f>IF(C40="","",IF(J40="","未入金",IF(K40&gt;=G40,"入金済","一部入金")))</f>
        <v/>
      </c>
    </row>
    <row r="41">
      <c r="A41" s="18">
        <f>IF(C41&lt;&gt;"",ROW()-1,"")</f>
        <v/>
      </c>
      <c r="B41" s="19" t="n"/>
      <c r="C41" s="20" t="n"/>
      <c r="D41" s="20" t="n"/>
      <c r="E41" s="21" t="n"/>
      <c r="F41" s="21">
        <f>IF(E41="","",E41*0.1)</f>
        <v/>
      </c>
      <c r="G41" s="21">
        <f>IF(E41="","",E41+F41)</f>
        <v/>
      </c>
      <c r="H41" s="19" t="n"/>
      <c r="I41" s="19" t="n"/>
      <c r="J41" s="19" t="n"/>
      <c r="K41" s="21" t="n"/>
      <c r="L41" s="18">
        <f>IF(C41="","",IF(J41="","未入金",IF(K41&gt;=G41,"入金済","一部入金")))</f>
        <v/>
      </c>
    </row>
    <row r="42">
      <c r="A42" s="14">
        <f>IF(C42&lt;&gt;"",ROW()-1,"")</f>
        <v/>
      </c>
      <c r="B42" s="15" t="n"/>
      <c r="C42" s="16" t="n"/>
      <c r="D42" s="16" t="n"/>
      <c r="E42" s="17" t="n"/>
      <c r="F42" s="17">
        <f>IF(E42="","",E42*0.1)</f>
        <v/>
      </c>
      <c r="G42" s="17">
        <f>IF(E42="","",E42+F42)</f>
        <v/>
      </c>
      <c r="H42" s="15" t="n"/>
      <c r="I42" s="15" t="n"/>
      <c r="J42" s="15" t="n"/>
      <c r="K42" s="17" t="n"/>
      <c r="L42" s="14">
        <f>IF(C42="","",IF(J42="","未入金",IF(K42&gt;=G42,"入金済","一部入金")))</f>
        <v/>
      </c>
    </row>
    <row r="43">
      <c r="A43" s="18">
        <f>IF(C43&lt;&gt;"",ROW()-1,"")</f>
        <v/>
      </c>
      <c r="B43" s="19" t="n"/>
      <c r="C43" s="20" t="n"/>
      <c r="D43" s="20" t="n"/>
      <c r="E43" s="21" t="n"/>
      <c r="F43" s="21">
        <f>IF(E43="","",E43*0.1)</f>
        <v/>
      </c>
      <c r="G43" s="21">
        <f>IF(E43="","",E43+F43)</f>
        <v/>
      </c>
      <c r="H43" s="19" t="n"/>
      <c r="I43" s="19" t="n"/>
      <c r="J43" s="19" t="n"/>
      <c r="K43" s="21" t="n"/>
      <c r="L43" s="18">
        <f>IF(C43="","",IF(J43="","未入金",IF(K43&gt;=G43,"入金済","一部入金")))</f>
        <v/>
      </c>
    </row>
    <row r="44">
      <c r="A44" s="14">
        <f>IF(C44&lt;&gt;"",ROW()-1,"")</f>
        <v/>
      </c>
      <c r="B44" s="15" t="n"/>
      <c r="C44" s="16" t="n"/>
      <c r="D44" s="16" t="n"/>
      <c r="E44" s="17" t="n"/>
      <c r="F44" s="17">
        <f>IF(E44="","",E44*0.1)</f>
        <v/>
      </c>
      <c r="G44" s="17">
        <f>IF(E44="","",E44+F44)</f>
        <v/>
      </c>
      <c r="H44" s="15" t="n"/>
      <c r="I44" s="15" t="n"/>
      <c r="J44" s="15" t="n"/>
      <c r="K44" s="17" t="n"/>
      <c r="L44" s="14">
        <f>IF(C44="","",IF(J44="","未入金",IF(K44&gt;=G44,"入金済","一部入金")))</f>
        <v/>
      </c>
    </row>
    <row r="45">
      <c r="A45" s="18">
        <f>IF(C45&lt;&gt;"",ROW()-1,"")</f>
        <v/>
      </c>
      <c r="B45" s="19" t="n"/>
      <c r="C45" s="20" t="n"/>
      <c r="D45" s="20" t="n"/>
      <c r="E45" s="21" t="n"/>
      <c r="F45" s="21">
        <f>IF(E45="","",E45*0.1)</f>
        <v/>
      </c>
      <c r="G45" s="21">
        <f>IF(E45="","",E45+F45)</f>
        <v/>
      </c>
      <c r="H45" s="19" t="n"/>
      <c r="I45" s="19" t="n"/>
      <c r="J45" s="19" t="n"/>
      <c r="K45" s="21" t="n"/>
      <c r="L45" s="18">
        <f>IF(C45="","",IF(J45="","未入金",IF(K45&gt;=G45,"入金済","一部入金")))</f>
        <v/>
      </c>
    </row>
    <row r="46">
      <c r="A46" s="14">
        <f>IF(C46&lt;&gt;"",ROW()-1,"")</f>
        <v/>
      </c>
      <c r="B46" s="15" t="n"/>
      <c r="C46" s="16" t="n"/>
      <c r="D46" s="16" t="n"/>
      <c r="E46" s="17" t="n"/>
      <c r="F46" s="17">
        <f>IF(E46="","",E46*0.1)</f>
        <v/>
      </c>
      <c r="G46" s="17">
        <f>IF(E46="","",E46+F46)</f>
        <v/>
      </c>
      <c r="H46" s="15" t="n"/>
      <c r="I46" s="15" t="n"/>
      <c r="J46" s="15" t="n"/>
      <c r="K46" s="17" t="n"/>
      <c r="L46" s="14">
        <f>IF(C46="","",IF(J46="","未入金",IF(K46&gt;=G46,"入金済","一部入金")))</f>
        <v/>
      </c>
    </row>
    <row r="47">
      <c r="A47" s="18">
        <f>IF(C47&lt;&gt;"",ROW()-1,"")</f>
        <v/>
      </c>
      <c r="B47" s="19" t="n"/>
      <c r="C47" s="20" t="n"/>
      <c r="D47" s="20" t="n"/>
      <c r="E47" s="21" t="n"/>
      <c r="F47" s="21">
        <f>IF(E47="","",E47*0.1)</f>
        <v/>
      </c>
      <c r="G47" s="21">
        <f>IF(E47="","",E47+F47)</f>
        <v/>
      </c>
      <c r="H47" s="19" t="n"/>
      <c r="I47" s="19" t="n"/>
      <c r="J47" s="19" t="n"/>
      <c r="K47" s="21" t="n"/>
      <c r="L47" s="18">
        <f>IF(C47="","",IF(J47="","未入金",IF(K47&gt;=G47,"入金済","一部入金")))</f>
        <v/>
      </c>
    </row>
    <row r="48">
      <c r="A48" s="14">
        <f>IF(C48&lt;&gt;"",ROW()-1,"")</f>
        <v/>
      </c>
      <c r="B48" s="15" t="n"/>
      <c r="C48" s="16" t="n"/>
      <c r="D48" s="16" t="n"/>
      <c r="E48" s="17" t="n"/>
      <c r="F48" s="17">
        <f>IF(E48="","",E48*0.1)</f>
        <v/>
      </c>
      <c r="G48" s="17">
        <f>IF(E48="","",E48+F48)</f>
        <v/>
      </c>
      <c r="H48" s="15" t="n"/>
      <c r="I48" s="15" t="n"/>
      <c r="J48" s="15" t="n"/>
      <c r="K48" s="17" t="n"/>
      <c r="L48" s="14">
        <f>IF(C48="","",IF(J48="","未入金",IF(K48&gt;=G48,"入金済","一部入金")))</f>
        <v/>
      </c>
    </row>
    <row r="49">
      <c r="A49" s="18">
        <f>IF(C49&lt;&gt;"",ROW()-1,"")</f>
        <v/>
      </c>
      <c r="B49" s="19" t="n"/>
      <c r="C49" s="20" t="n"/>
      <c r="D49" s="20" t="n"/>
      <c r="E49" s="21" t="n"/>
      <c r="F49" s="21">
        <f>IF(E49="","",E49*0.1)</f>
        <v/>
      </c>
      <c r="G49" s="21">
        <f>IF(E49="","",E49+F49)</f>
        <v/>
      </c>
      <c r="H49" s="19" t="n"/>
      <c r="I49" s="19" t="n"/>
      <c r="J49" s="19" t="n"/>
      <c r="K49" s="21" t="n"/>
      <c r="L49" s="18">
        <f>IF(C49="","",IF(J49="","未入金",IF(K49&gt;=G49,"入金済","一部入金")))</f>
        <v/>
      </c>
    </row>
    <row r="50">
      <c r="A50" s="14">
        <f>IF(C50&lt;&gt;"",ROW()-1,"")</f>
        <v/>
      </c>
      <c r="B50" s="15" t="n"/>
      <c r="C50" s="16" t="n"/>
      <c r="D50" s="16" t="n"/>
      <c r="E50" s="17" t="n"/>
      <c r="F50" s="17">
        <f>IF(E50="","",E50*0.1)</f>
        <v/>
      </c>
      <c r="G50" s="17">
        <f>IF(E50="","",E50+F50)</f>
        <v/>
      </c>
      <c r="H50" s="15" t="n"/>
      <c r="I50" s="15" t="n"/>
      <c r="J50" s="15" t="n"/>
      <c r="K50" s="17" t="n"/>
      <c r="L50" s="14">
        <f>IF(C50="","",IF(J50="","未入金",IF(K50&gt;=G50,"入金済","一部入金")))</f>
        <v/>
      </c>
    </row>
    <row r="51">
      <c r="A51" s="18">
        <f>IF(C51&lt;&gt;"",ROW()-1,"")</f>
        <v/>
      </c>
      <c r="B51" s="19" t="n"/>
      <c r="C51" s="20" t="n"/>
      <c r="D51" s="20" t="n"/>
      <c r="E51" s="21" t="n"/>
      <c r="F51" s="21">
        <f>IF(E51="","",E51*0.1)</f>
        <v/>
      </c>
      <c r="G51" s="21">
        <f>IF(E51="","",E51+F51)</f>
        <v/>
      </c>
      <c r="H51" s="19" t="n"/>
      <c r="I51" s="19" t="n"/>
      <c r="J51" s="19" t="n"/>
      <c r="K51" s="21" t="n"/>
      <c r="L51" s="18">
        <f>IF(C51="","",IF(J51="","未入金",IF(K51&gt;=G51,"入金済","一部入金")))</f>
        <v/>
      </c>
    </row>
    <row r="52">
      <c r="A52" s="14">
        <f>IF(C52&lt;&gt;"",ROW()-1,"")</f>
        <v/>
      </c>
      <c r="B52" s="15" t="n"/>
      <c r="C52" s="16" t="n"/>
      <c r="D52" s="16" t="n"/>
      <c r="E52" s="17" t="n"/>
      <c r="F52" s="17">
        <f>IF(E52="","",E52*0.1)</f>
        <v/>
      </c>
      <c r="G52" s="17">
        <f>IF(E52="","",E52+F52)</f>
        <v/>
      </c>
      <c r="H52" s="15" t="n"/>
      <c r="I52" s="15" t="n"/>
      <c r="J52" s="15" t="n"/>
      <c r="K52" s="17" t="n"/>
      <c r="L52" s="14">
        <f>IF(C52="","",IF(J52="","未入金",IF(K52&gt;=G52,"入金済","一部入金")))</f>
        <v/>
      </c>
    </row>
    <row r="53">
      <c r="A53" s="18">
        <f>IF(C53&lt;&gt;"",ROW()-1,"")</f>
        <v/>
      </c>
      <c r="B53" s="19" t="n"/>
      <c r="C53" s="20" t="n"/>
      <c r="D53" s="20" t="n"/>
      <c r="E53" s="21" t="n"/>
      <c r="F53" s="21">
        <f>IF(E53="","",E53*0.1)</f>
        <v/>
      </c>
      <c r="G53" s="21">
        <f>IF(E53="","",E53+F53)</f>
        <v/>
      </c>
      <c r="H53" s="19" t="n"/>
      <c r="I53" s="19" t="n"/>
      <c r="J53" s="19" t="n"/>
      <c r="K53" s="21" t="n"/>
      <c r="L53" s="18">
        <f>IF(C53="","",IF(J53="","未入金",IF(K53&gt;=G53,"入金済","一部入金")))</f>
        <v/>
      </c>
    </row>
    <row r="54">
      <c r="A54" s="14">
        <f>IF(C54&lt;&gt;"",ROW()-1,"")</f>
        <v/>
      </c>
      <c r="B54" s="15" t="n"/>
      <c r="C54" s="16" t="n"/>
      <c r="D54" s="16" t="n"/>
      <c r="E54" s="17" t="n"/>
      <c r="F54" s="17">
        <f>IF(E54="","",E54*0.1)</f>
        <v/>
      </c>
      <c r="G54" s="17">
        <f>IF(E54="","",E54+F54)</f>
        <v/>
      </c>
      <c r="H54" s="15" t="n"/>
      <c r="I54" s="15" t="n"/>
      <c r="J54" s="15" t="n"/>
      <c r="K54" s="17" t="n"/>
      <c r="L54" s="14">
        <f>IF(C54="","",IF(J54="","未入金",IF(K54&gt;=G54,"入金済","一部入金")))</f>
        <v/>
      </c>
    </row>
    <row r="55">
      <c r="A55" s="18">
        <f>IF(C55&lt;&gt;"",ROW()-1,"")</f>
        <v/>
      </c>
      <c r="B55" s="19" t="n"/>
      <c r="C55" s="20" t="n"/>
      <c r="D55" s="20" t="n"/>
      <c r="E55" s="21" t="n"/>
      <c r="F55" s="21">
        <f>IF(E55="","",E55*0.1)</f>
        <v/>
      </c>
      <c r="G55" s="21">
        <f>IF(E55="","",E55+F55)</f>
        <v/>
      </c>
      <c r="H55" s="19" t="n"/>
      <c r="I55" s="19" t="n"/>
      <c r="J55" s="19" t="n"/>
      <c r="K55" s="21" t="n"/>
      <c r="L55" s="18">
        <f>IF(C55="","",IF(J55="","未入金",IF(K55&gt;=G55,"入金済","一部入金")))</f>
        <v/>
      </c>
    </row>
    <row r="56">
      <c r="A56" s="14">
        <f>IF(C56&lt;&gt;"",ROW()-1,"")</f>
        <v/>
      </c>
      <c r="B56" s="15" t="n"/>
      <c r="C56" s="16" t="n"/>
      <c r="D56" s="16" t="n"/>
      <c r="E56" s="17" t="n"/>
      <c r="F56" s="17">
        <f>IF(E56="","",E56*0.1)</f>
        <v/>
      </c>
      <c r="G56" s="17">
        <f>IF(E56="","",E56+F56)</f>
        <v/>
      </c>
      <c r="H56" s="15" t="n"/>
      <c r="I56" s="15" t="n"/>
      <c r="J56" s="15" t="n"/>
      <c r="K56" s="17" t="n"/>
      <c r="L56" s="14">
        <f>IF(C56="","",IF(J56="","未入金",IF(K56&gt;=G56,"入金済","一部入金")))</f>
        <v/>
      </c>
    </row>
    <row r="57">
      <c r="A57" s="18">
        <f>IF(C57&lt;&gt;"",ROW()-1,"")</f>
        <v/>
      </c>
      <c r="B57" s="19" t="n"/>
      <c r="C57" s="20" t="n"/>
      <c r="D57" s="20" t="n"/>
      <c r="E57" s="21" t="n"/>
      <c r="F57" s="21">
        <f>IF(E57="","",E57*0.1)</f>
        <v/>
      </c>
      <c r="G57" s="21">
        <f>IF(E57="","",E57+F57)</f>
        <v/>
      </c>
      <c r="H57" s="19" t="n"/>
      <c r="I57" s="19" t="n"/>
      <c r="J57" s="19" t="n"/>
      <c r="K57" s="21" t="n"/>
      <c r="L57" s="18">
        <f>IF(C57="","",IF(J57="","未入金",IF(K57&gt;=G57,"入金済","一部入金")))</f>
        <v/>
      </c>
    </row>
    <row r="58">
      <c r="A58" s="14">
        <f>IF(C58&lt;&gt;"",ROW()-1,"")</f>
        <v/>
      </c>
      <c r="B58" s="15" t="n"/>
      <c r="C58" s="16" t="n"/>
      <c r="D58" s="16" t="n"/>
      <c r="E58" s="17" t="n"/>
      <c r="F58" s="17">
        <f>IF(E58="","",E58*0.1)</f>
        <v/>
      </c>
      <c r="G58" s="17">
        <f>IF(E58="","",E58+F58)</f>
        <v/>
      </c>
      <c r="H58" s="15" t="n"/>
      <c r="I58" s="15" t="n"/>
      <c r="J58" s="15" t="n"/>
      <c r="K58" s="17" t="n"/>
      <c r="L58" s="14">
        <f>IF(C58="","",IF(J58="","未入金",IF(K58&gt;=G58,"入金済","一部入金")))</f>
        <v/>
      </c>
    </row>
    <row r="59">
      <c r="A59" s="18">
        <f>IF(C59&lt;&gt;"",ROW()-1,"")</f>
        <v/>
      </c>
      <c r="B59" s="19" t="n"/>
      <c r="C59" s="20" t="n"/>
      <c r="D59" s="20" t="n"/>
      <c r="E59" s="21" t="n"/>
      <c r="F59" s="21">
        <f>IF(E59="","",E59*0.1)</f>
        <v/>
      </c>
      <c r="G59" s="21">
        <f>IF(E59="","",E59+F59)</f>
        <v/>
      </c>
      <c r="H59" s="19" t="n"/>
      <c r="I59" s="19" t="n"/>
      <c r="J59" s="19" t="n"/>
      <c r="K59" s="21" t="n"/>
      <c r="L59" s="18">
        <f>IF(C59="","",IF(J59="","未入金",IF(K59&gt;=G59,"入金済","一部入金")))</f>
        <v/>
      </c>
    </row>
    <row r="60">
      <c r="A60" s="14">
        <f>IF(C60&lt;&gt;"",ROW()-1,"")</f>
        <v/>
      </c>
      <c r="B60" s="15" t="n"/>
      <c r="C60" s="16" t="n"/>
      <c r="D60" s="16" t="n"/>
      <c r="E60" s="17" t="n"/>
      <c r="F60" s="17">
        <f>IF(E60="","",E60*0.1)</f>
        <v/>
      </c>
      <c r="G60" s="17">
        <f>IF(E60="","",E60+F60)</f>
        <v/>
      </c>
      <c r="H60" s="15" t="n"/>
      <c r="I60" s="15" t="n"/>
      <c r="J60" s="15" t="n"/>
      <c r="K60" s="17" t="n"/>
      <c r="L60" s="14">
        <f>IF(C60="","",IF(J60="","未入金",IF(K60&gt;=G60,"入金済","一部入金")))</f>
        <v/>
      </c>
    </row>
    <row r="61">
      <c r="A61" s="18">
        <f>IF(C61&lt;&gt;"",ROW()-1,"")</f>
        <v/>
      </c>
      <c r="B61" s="19" t="n"/>
      <c r="C61" s="20" t="n"/>
      <c r="D61" s="20" t="n"/>
      <c r="E61" s="21" t="n"/>
      <c r="F61" s="21">
        <f>IF(E61="","",E61*0.1)</f>
        <v/>
      </c>
      <c r="G61" s="21">
        <f>IF(E61="","",E61+F61)</f>
        <v/>
      </c>
      <c r="H61" s="19" t="n"/>
      <c r="I61" s="19" t="n"/>
      <c r="J61" s="19" t="n"/>
      <c r="K61" s="21" t="n"/>
      <c r="L61" s="18">
        <f>IF(C61="","",IF(J61="","未入金",IF(K61&gt;=G61,"入金済","一部入金")))</f>
        <v/>
      </c>
    </row>
    <row r="62">
      <c r="A62" s="14">
        <f>IF(C62&lt;&gt;"",ROW()-1,"")</f>
        <v/>
      </c>
      <c r="B62" s="15" t="n"/>
      <c r="C62" s="16" t="n"/>
      <c r="D62" s="16" t="n"/>
      <c r="E62" s="17" t="n"/>
      <c r="F62" s="17">
        <f>IF(E62="","",E62*0.1)</f>
        <v/>
      </c>
      <c r="G62" s="17">
        <f>IF(E62="","",E62+F62)</f>
        <v/>
      </c>
      <c r="H62" s="15" t="n"/>
      <c r="I62" s="15" t="n"/>
      <c r="J62" s="15" t="n"/>
      <c r="K62" s="17" t="n"/>
      <c r="L62" s="14">
        <f>IF(C62="","",IF(J62="","未入金",IF(K62&gt;=G62,"入金済","一部入金")))</f>
        <v/>
      </c>
    </row>
    <row r="63">
      <c r="A63" s="18">
        <f>IF(C63&lt;&gt;"",ROW()-1,"")</f>
        <v/>
      </c>
      <c r="B63" s="19" t="n"/>
      <c r="C63" s="20" t="n"/>
      <c r="D63" s="20" t="n"/>
      <c r="E63" s="21" t="n"/>
      <c r="F63" s="21">
        <f>IF(E63="","",E63*0.1)</f>
        <v/>
      </c>
      <c r="G63" s="21">
        <f>IF(E63="","",E63+F63)</f>
        <v/>
      </c>
      <c r="H63" s="19" t="n"/>
      <c r="I63" s="19" t="n"/>
      <c r="J63" s="19" t="n"/>
      <c r="K63" s="21" t="n"/>
      <c r="L63" s="18">
        <f>IF(C63="","",IF(J63="","未入金",IF(K63&gt;=G63,"入金済","一部入金")))</f>
        <v/>
      </c>
    </row>
    <row r="64">
      <c r="A64" s="14">
        <f>IF(C64&lt;&gt;"",ROW()-1,"")</f>
        <v/>
      </c>
      <c r="B64" s="15" t="n"/>
      <c r="C64" s="16" t="n"/>
      <c r="D64" s="16" t="n"/>
      <c r="E64" s="17" t="n"/>
      <c r="F64" s="17">
        <f>IF(E64="","",E64*0.1)</f>
        <v/>
      </c>
      <c r="G64" s="17">
        <f>IF(E64="","",E64+F64)</f>
        <v/>
      </c>
      <c r="H64" s="15" t="n"/>
      <c r="I64" s="15" t="n"/>
      <c r="J64" s="15" t="n"/>
      <c r="K64" s="17" t="n"/>
      <c r="L64" s="14">
        <f>IF(C64="","",IF(J64="","未入金",IF(K64&gt;=G64,"入金済","一部入金")))</f>
        <v/>
      </c>
    </row>
    <row r="65">
      <c r="A65" s="18">
        <f>IF(C65&lt;&gt;"",ROW()-1,"")</f>
        <v/>
      </c>
      <c r="B65" s="19" t="n"/>
      <c r="C65" s="20" t="n"/>
      <c r="D65" s="20" t="n"/>
      <c r="E65" s="21" t="n"/>
      <c r="F65" s="21">
        <f>IF(E65="","",E65*0.1)</f>
        <v/>
      </c>
      <c r="G65" s="21">
        <f>IF(E65="","",E65+F65)</f>
        <v/>
      </c>
      <c r="H65" s="19" t="n"/>
      <c r="I65" s="19" t="n"/>
      <c r="J65" s="19" t="n"/>
      <c r="K65" s="21" t="n"/>
      <c r="L65" s="18">
        <f>IF(C65="","",IF(J65="","未入金",IF(K65&gt;=G65,"入金済","一部入金")))</f>
        <v/>
      </c>
    </row>
    <row r="66">
      <c r="A66" s="14">
        <f>IF(C66&lt;&gt;"",ROW()-1,"")</f>
        <v/>
      </c>
      <c r="B66" s="15" t="n"/>
      <c r="C66" s="16" t="n"/>
      <c r="D66" s="16" t="n"/>
      <c r="E66" s="17" t="n"/>
      <c r="F66" s="17">
        <f>IF(E66="","",E66*0.1)</f>
        <v/>
      </c>
      <c r="G66" s="17">
        <f>IF(E66="","",E66+F66)</f>
        <v/>
      </c>
      <c r="H66" s="15" t="n"/>
      <c r="I66" s="15" t="n"/>
      <c r="J66" s="15" t="n"/>
      <c r="K66" s="17" t="n"/>
      <c r="L66" s="14">
        <f>IF(C66="","",IF(J66="","未入金",IF(K66&gt;=G66,"入金済","一部入金")))</f>
        <v/>
      </c>
    </row>
    <row r="67">
      <c r="A67" s="18">
        <f>IF(C67&lt;&gt;"",ROW()-1,"")</f>
        <v/>
      </c>
      <c r="B67" s="19" t="n"/>
      <c r="C67" s="20" t="n"/>
      <c r="D67" s="20" t="n"/>
      <c r="E67" s="21" t="n"/>
      <c r="F67" s="21">
        <f>IF(E67="","",E67*0.1)</f>
        <v/>
      </c>
      <c r="G67" s="21">
        <f>IF(E67="","",E67+F67)</f>
        <v/>
      </c>
      <c r="H67" s="19" t="n"/>
      <c r="I67" s="19" t="n"/>
      <c r="J67" s="19" t="n"/>
      <c r="K67" s="21" t="n"/>
      <c r="L67" s="18">
        <f>IF(C67="","",IF(J67="","未入金",IF(K67&gt;=G67,"入金済","一部入金")))</f>
        <v/>
      </c>
    </row>
    <row r="68">
      <c r="A68" s="14">
        <f>IF(C68&lt;&gt;"",ROW()-1,"")</f>
        <v/>
      </c>
      <c r="B68" s="15" t="n"/>
      <c r="C68" s="16" t="n"/>
      <c r="D68" s="16" t="n"/>
      <c r="E68" s="17" t="n"/>
      <c r="F68" s="17">
        <f>IF(E68="","",E68*0.1)</f>
        <v/>
      </c>
      <c r="G68" s="17">
        <f>IF(E68="","",E68+F68)</f>
        <v/>
      </c>
      <c r="H68" s="15" t="n"/>
      <c r="I68" s="15" t="n"/>
      <c r="J68" s="15" t="n"/>
      <c r="K68" s="17" t="n"/>
      <c r="L68" s="14">
        <f>IF(C68="","",IF(J68="","未入金",IF(K68&gt;=G68,"入金済","一部入金")))</f>
        <v/>
      </c>
    </row>
    <row r="69">
      <c r="A69" s="18">
        <f>IF(C69&lt;&gt;"",ROW()-1,"")</f>
        <v/>
      </c>
      <c r="B69" s="19" t="n"/>
      <c r="C69" s="20" t="n"/>
      <c r="D69" s="20" t="n"/>
      <c r="E69" s="21" t="n"/>
      <c r="F69" s="21">
        <f>IF(E69="","",E69*0.1)</f>
        <v/>
      </c>
      <c r="G69" s="21">
        <f>IF(E69="","",E69+F69)</f>
        <v/>
      </c>
      <c r="H69" s="19" t="n"/>
      <c r="I69" s="19" t="n"/>
      <c r="J69" s="19" t="n"/>
      <c r="K69" s="21" t="n"/>
      <c r="L69" s="18">
        <f>IF(C69="","",IF(J69="","未入金",IF(K69&gt;=G69,"入金済","一部入金")))</f>
        <v/>
      </c>
    </row>
    <row r="70">
      <c r="A70" s="14">
        <f>IF(C70&lt;&gt;"",ROW()-1,"")</f>
        <v/>
      </c>
      <c r="B70" s="15" t="n"/>
      <c r="C70" s="16" t="n"/>
      <c r="D70" s="16" t="n"/>
      <c r="E70" s="17" t="n"/>
      <c r="F70" s="17">
        <f>IF(E70="","",E70*0.1)</f>
        <v/>
      </c>
      <c r="G70" s="17">
        <f>IF(E70="","",E70+F70)</f>
        <v/>
      </c>
      <c r="H70" s="15" t="n"/>
      <c r="I70" s="15" t="n"/>
      <c r="J70" s="15" t="n"/>
      <c r="K70" s="17" t="n"/>
      <c r="L70" s="14">
        <f>IF(C70="","",IF(J70="","未入金",IF(K70&gt;=G70,"入金済","一部入金")))</f>
        <v/>
      </c>
    </row>
    <row r="71">
      <c r="A71" s="18">
        <f>IF(C71&lt;&gt;"",ROW()-1,"")</f>
        <v/>
      </c>
      <c r="B71" s="19" t="n"/>
      <c r="C71" s="20" t="n"/>
      <c r="D71" s="20" t="n"/>
      <c r="E71" s="21" t="n"/>
      <c r="F71" s="21">
        <f>IF(E71="","",E71*0.1)</f>
        <v/>
      </c>
      <c r="G71" s="21">
        <f>IF(E71="","",E71+F71)</f>
        <v/>
      </c>
      <c r="H71" s="19" t="n"/>
      <c r="I71" s="19" t="n"/>
      <c r="J71" s="19" t="n"/>
      <c r="K71" s="21" t="n"/>
      <c r="L71" s="18">
        <f>IF(C71="","",IF(J71="","未入金",IF(K71&gt;=G71,"入金済","一部入金")))</f>
        <v/>
      </c>
    </row>
    <row r="72">
      <c r="A72" s="14">
        <f>IF(C72&lt;&gt;"",ROW()-1,"")</f>
        <v/>
      </c>
      <c r="B72" s="15" t="n"/>
      <c r="C72" s="16" t="n"/>
      <c r="D72" s="16" t="n"/>
      <c r="E72" s="17" t="n"/>
      <c r="F72" s="17">
        <f>IF(E72="","",E72*0.1)</f>
        <v/>
      </c>
      <c r="G72" s="17">
        <f>IF(E72="","",E72+F72)</f>
        <v/>
      </c>
      <c r="H72" s="15" t="n"/>
      <c r="I72" s="15" t="n"/>
      <c r="J72" s="15" t="n"/>
      <c r="K72" s="17" t="n"/>
      <c r="L72" s="14">
        <f>IF(C72="","",IF(J72="","未入金",IF(K72&gt;=G72,"入金済","一部入金")))</f>
        <v/>
      </c>
    </row>
    <row r="73">
      <c r="A73" s="18">
        <f>IF(C73&lt;&gt;"",ROW()-1,"")</f>
        <v/>
      </c>
      <c r="B73" s="19" t="n"/>
      <c r="C73" s="20" t="n"/>
      <c r="D73" s="20" t="n"/>
      <c r="E73" s="21" t="n"/>
      <c r="F73" s="21">
        <f>IF(E73="","",E73*0.1)</f>
        <v/>
      </c>
      <c r="G73" s="21">
        <f>IF(E73="","",E73+F73)</f>
        <v/>
      </c>
      <c r="H73" s="19" t="n"/>
      <c r="I73" s="19" t="n"/>
      <c r="J73" s="19" t="n"/>
      <c r="K73" s="21" t="n"/>
      <c r="L73" s="18">
        <f>IF(C73="","",IF(J73="","未入金",IF(K73&gt;=G73,"入金済","一部入金")))</f>
        <v/>
      </c>
    </row>
    <row r="74">
      <c r="A74" s="14">
        <f>IF(C74&lt;&gt;"",ROW()-1,"")</f>
        <v/>
      </c>
      <c r="B74" s="15" t="n"/>
      <c r="C74" s="16" t="n"/>
      <c r="D74" s="16" t="n"/>
      <c r="E74" s="17" t="n"/>
      <c r="F74" s="17">
        <f>IF(E74="","",E74*0.1)</f>
        <v/>
      </c>
      <c r="G74" s="17">
        <f>IF(E74="","",E74+F74)</f>
        <v/>
      </c>
      <c r="H74" s="15" t="n"/>
      <c r="I74" s="15" t="n"/>
      <c r="J74" s="15" t="n"/>
      <c r="K74" s="17" t="n"/>
      <c r="L74" s="14">
        <f>IF(C74="","",IF(J74="","未入金",IF(K74&gt;=G74,"入金済","一部入金")))</f>
        <v/>
      </c>
    </row>
    <row r="75">
      <c r="A75" s="18">
        <f>IF(C75&lt;&gt;"",ROW()-1,"")</f>
        <v/>
      </c>
      <c r="B75" s="19" t="n"/>
      <c r="C75" s="20" t="n"/>
      <c r="D75" s="20" t="n"/>
      <c r="E75" s="21" t="n"/>
      <c r="F75" s="21">
        <f>IF(E75="","",E75*0.1)</f>
        <v/>
      </c>
      <c r="G75" s="21">
        <f>IF(E75="","",E75+F75)</f>
        <v/>
      </c>
      <c r="H75" s="19" t="n"/>
      <c r="I75" s="19" t="n"/>
      <c r="J75" s="19" t="n"/>
      <c r="K75" s="21" t="n"/>
      <c r="L75" s="18">
        <f>IF(C75="","",IF(J75="","未入金",IF(K75&gt;=G75,"入金済","一部入金")))</f>
        <v/>
      </c>
    </row>
    <row r="76">
      <c r="A76" s="14">
        <f>IF(C76&lt;&gt;"",ROW()-1,"")</f>
        <v/>
      </c>
      <c r="B76" s="15" t="n"/>
      <c r="C76" s="16" t="n"/>
      <c r="D76" s="16" t="n"/>
      <c r="E76" s="17" t="n"/>
      <c r="F76" s="17">
        <f>IF(E76="","",E76*0.1)</f>
        <v/>
      </c>
      <c r="G76" s="17">
        <f>IF(E76="","",E76+F76)</f>
        <v/>
      </c>
      <c r="H76" s="15" t="n"/>
      <c r="I76" s="15" t="n"/>
      <c r="J76" s="15" t="n"/>
      <c r="K76" s="17" t="n"/>
      <c r="L76" s="14">
        <f>IF(C76="","",IF(J76="","未入金",IF(K76&gt;=G76,"入金済","一部入金")))</f>
        <v/>
      </c>
    </row>
    <row r="77">
      <c r="A77" s="18">
        <f>IF(C77&lt;&gt;"",ROW()-1,"")</f>
        <v/>
      </c>
      <c r="B77" s="19" t="n"/>
      <c r="C77" s="20" t="n"/>
      <c r="D77" s="20" t="n"/>
      <c r="E77" s="21" t="n"/>
      <c r="F77" s="21">
        <f>IF(E77="","",E77*0.1)</f>
        <v/>
      </c>
      <c r="G77" s="21">
        <f>IF(E77="","",E77+F77)</f>
        <v/>
      </c>
      <c r="H77" s="19" t="n"/>
      <c r="I77" s="19" t="n"/>
      <c r="J77" s="19" t="n"/>
      <c r="K77" s="21" t="n"/>
      <c r="L77" s="18">
        <f>IF(C77="","",IF(J77="","未入金",IF(K77&gt;=G77,"入金済","一部入金")))</f>
        <v/>
      </c>
    </row>
    <row r="78">
      <c r="A78" s="14">
        <f>IF(C78&lt;&gt;"",ROW()-1,"")</f>
        <v/>
      </c>
      <c r="B78" s="15" t="n"/>
      <c r="C78" s="16" t="n"/>
      <c r="D78" s="16" t="n"/>
      <c r="E78" s="17" t="n"/>
      <c r="F78" s="17">
        <f>IF(E78="","",E78*0.1)</f>
        <v/>
      </c>
      <c r="G78" s="17">
        <f>IF(E78="","",E78+F78)</f>
        <v/>
      </c>
      <c r="H78" s="15" t="n"/>
      <c r="I78" s="15" t="n"/>
      <c r="J78" s="15" t="n"/>
      <c r="K78" s="17" t="n"/>
      <c r="L78" s="14">
        <f>IF(C78="","",IF(J78="","未入金",IF(K78&gt;=G78,"入金済","一部入金")))</f>
        <v/>
      </c>
    </row>
    <row r="79">
      <c r="A79" s="18">
        <f>IF(C79&lt;&gt;"",ROW()-1,"")</f>
        <v/>
      </c>
      <c r="B79" s="19" t="n"/>
      <c r="C79" s="20" t="n"/>
      <c r="D79" s="20" t="n"/>
      <c r="E79" s="21" t="n"/>
      <c r="F79" s="21">
        <f>IF(E79="","",E79*0.1)</f>
        <v/>
      </c>
      <c r="G79" s="21">
        <f>IF(E79="","",E79+F79)</f>
        <v/>
      </c>
      <c r="H79" s="19" t="n"/>
      <c r="I79" s="19" t="n"/>
      <c r="J79" s="19" t="n"/>
      <c r="K79" s="21" t="n"/>
      <c r="L79" s="18">
        <f>IF(C79="","",IF(J79="","未入金",IF(K79&gt;=G79,"入金済","一部入金")))</f>
        <v/>
      </c>
    </row>
    <row r="80">
      <c r="A80" s="14">
        <f>IF(C80&lt;&gt;"",ROW()-1,"")</f>
        <v/>
      </c>
      <c r="B80" s="15" t="n"/>
      <c r="C80" s="16" t="n"/>
      <c r="D80" s="16" t="n"/>
      <c r="E80" s="17" t="n"/>
      <c r="F80" s="17">
        <f>IF(E80="","",E80*0.1)</f>
        <v/>
      </c>
      <c r="G80" s="17">
        <f>IF(E80="","",E80+F80)</f>
        <v/>
      </c>
      <c r="H80" s="15" t="n"/>
      <c r="I80" s="15" t="n"/>
      <c r="J80" s="15" t="n"/>
      <c r="K80" s="17" t="n"/>
      <c r="L80" s="14">
        <f>IF(C80="","",IF(J80="","未入金",IF(K80&gt;=G80,"入金済","一部入金")))</f>
        <v/>
      </c>
    </row>
    <row r="81">
      <c r="A81" s="18">
        <f>IF(C81&lt;&gt;"",ROW()-1,"")</f>
        <v/>
      </c>
      <c r="B81" s="19" t="n"/>
      <c r="C81" s="20" t="n"/>
      <c r="D81" s="20" t="n"/>
      <c r="E81" s="21" t="n"/>
      <c r="F81" s="21">
        <f>IF(E81="","",E81*0.1)</f>
        <v/>
      </c>
      <c r="G81" s="21">
        <f>IF(E81="","",E81+F81)</f>
        <v/>
      </c>
      <c r="H81" s="19" t="n"/>
      <c r="I81" s="19" t="n"/>
      <c r="J81" s="19" t="n"/>
      <c r="K81" s="21" t="n"/>
      <c r="L81" s="18">
        <f>IF(C81="","",IF(J81="","未入金",IF(K81&gt;=G81,"入金済","一部入金")))</f>
        <v/>
      </c>
    </row>
    <row r="82">
      <c r="A82" s="14">
        <f>IF(C82&lt;&gt;"",ROW()-1,"")</f>
        <v/>
      </c>
      <c r="B82" s="15" t="n"/>
      <c r="C82" s="16" t="n"/>
      <c r="D82" s="16" t="n"/>
      <c r="E82" s="17" t="n"/>
      <c r="F82" s="17">
        <f>IF(E82="","",E82*0.1)</f>
        <v/>
      </c>
      <c r="G82" s="17">
        <f>IF(E82="","",E82+F82)</f>
        <v/>
      </c>
      <c r="H82" s="15" t="n"/>
      <c r="I82" s="15" t="n"/>
      <c r="J82" s="15" t="n"/>
      <c r="K82" s="17" t="n"/>
      <c r="L82" s="14">
        <f>IF(C82="","",IF(J82="","未入金",IF(K82&gt;=G82,"入金済","一部入金")))</f>
        <v/>
      </c>
    </row>
    <row r="83">
      <c r="A83" s="18">
        <f>IF(C83&lt;&gt;"",ROW()-1,"")</f>
        <v/>
      </c>
      <c r="B83" s="19" t="n"/>
      <c r="C83" s="20" t="n"/>
      <c r="D83" s="20" t="n"/>
      <c r="E83" s="21" t="n"/>
      <c r="F83" s="21">
        <f>IF(E83="","",E83*0.1)</f>
        <v/>
      </c>
      <c r="G83" s="21">
        <f>IF(E83="","",E83+F83)</f>
        <v/>
      </c>
      <c r="H83" s="19" t="n"/>
      <c r="I83" s="19" t="n"/>
      <c r="J83" s="19" t="n"/>
      <c r="K83" s="21" t="n"/>
      <c r="L83" s="18">
        <f>IF(C83="","",IF(J83="","未入金",IF(K83&gt;=G83,"入金済","一部入金")))</f>
        <v/>
      </c>
    </row>
    <row r="84">
      <c r="A84" s="14">
        <f>IF(C84&lt;&gt;"",ROW()-1,"")</f>
        <v/>
      </c>
      <c r="B84" s="15" t="n"/>
      <c r="C84" s="16" t="n"/>
      <c r="D84" s="16" t="n"/>
      <c r="E84" s="17" t="n"/>
      <c r="F84" s="17">
        <f>IF(E84="","",E84*0.1)</f>
        <v/>
      </c>
      <c r="G84" s="17">
        <f>IF(E84="","",E84+F84)</f>
        <v/>
      </c>
      <c r="H84" s="15" t="n"/>
      <c r="I84" s="15" t="n"/>
      <c r="J84" s="15" t="n"/>
      <c r="K84" s="17" t="n"/>
      <c r="L84" s="14">
        <f>IF(C84="","",IF(J84="","未入金",IF(K84&gt;=G84,"入金済","一部入金")))</f>
        <v/>
      </c>
    </row>
    <row r="85">
      <c r="A85" s="18">
        <f>IF(C85&lt;&gt;"",ROW()-1,"")</f>
        <v/>
      </c>
      <c r="B85" s="19" t="n"/>
      <c r="C85" s="20" t="n"/>
      <c r="D85" s="20" t="n"/>
      <c r="E85" s="21" t="n"/>
      <c r="F85" s="21">
        <f>IF(E85="","",E85*0.1)</f>
        <v/>
      </c>
      <c r="G85" s="21">
        <f>IF(E85="","",E85+F85)</f>
        <v/>
      </c>
      <c r="H85" s="19" t="n"/>
      <c r="I85" s="19" t="n"/>
      <c r="J85" s="19" t="n"/>
      <c r="K85" s="21" t="n"/>
      <c r="L85" s="18">
        <f>IF(C85="","",IF(J85="","未入金",IF(K85&gt;=G85,"入金済","一部入金")))</f>
        <v/>
      </c>
    </row>
    <row r="86">
      <c r="A86" s="14">
        <f>IF(C86&lt;&gt;"",ROW()-1,"")</f>
        <v/>
      </c>
      <c r="B86" s="15" t="n"/>
      <c r="C86" s="16" t="n"/>
      <c r="D86" s="16" t="n"/>
      <c r="E86" s="17" t="n"/>
      <c r="F86" s="17">
        <f>IF(E86="","",E86*0.1)</f>
        <v/>
      </c>
      <c r="G86" s="17">
        <f>IF(E86="","",E86+F86)</f>
        <v/>
      </c>
      <c r="H86" s="15" t="n"/>
      <c r="I86" s="15" t="n"/>
      <c r="J86" s="15" t="n"/>
      <c r="K86" s="17" t="n"/>
      <c r="L86" s="14">
        <f>IF(C86="","",IF(J86="","未入金",IF(K86&gt;=G86,"入金済","一部入金")))</f>
        <v/>
      </c>
    </row>
    <row r="87">
      <c r="A87" s="18">
        <f>IF(C87&lt;&gt;"",ROW()-1,"")</f>
        <v/>
      </c>
      <c r="B87" s="19" t="n"/>
      <c r="C87" s="20" t="n"/>
      <c r="D87" s="20" t="n"/>
      <c r="E87" s="21" t="n"/>
      <c r="F87" s="21">
        <f>IF(E87="","",E87*0.1)</f>
        <v/>
      </c>
      <c r="G87" s="21">
        <f>IF(E87="","",E87+F87)</f>
        <v/>
      </c>
      <c r="H87" s="19" t="n"/>
      <c r="I87" s="19" t="n"/>
      <c r="J87" s="19" t="n"/>
      <c r="K87" s="21" t="n"/>
      <c r="L87" s="18">
        <f>IF(C87="","",IF(J87="","未入金",IF(K87&gt;=G87,"入金済","一部入金")))</f>
        <v/>
      </c>
    </row>
    <row r="88">
      <c r="A88" s="14">
        <f>IF(C88&lt;&gt;"",ROW()-1,"")</f>
        <v/>
      </c>
      <c r="B88" s="15" t="n"/>
      <c r="C88" s="16" t="n"/>
      <c r="D88" s="16" t="n"/>
      <c r="E88" s="17" t="n"/>
      <c r="F88" s="17">
        <f>IF(E88="","",E88*0.1)</f>
        <v/>
      </c>
      <c r="G88" s="17">
        <f>IF(E88="","",E88+F88)</f>
        <v/>
      </c>
      <c r="H88" s="15" t="n"/>
      <c r="I88" s="15" t="n"/>
      <c r="J88" s="15" t="n"/>
      <c r="K88" s="17" t="n"/>
      <c r="L88" s="14">
        <f>IF(C88="","",IF(J88="","未入金",IF(K88&gt;=G88,"入金済","一部入金")))</f>
        <v/>
      </c>
    </row>
    <row r="89">
      <c r="A89" s="18">
        <f>IF(C89&lt;&gt;"",ROW()-1,"")</f>
        <v/>
      </c>
      <c r="B89" s="19" t="n"/>
      <c r="C89" s="20" t="n"/>
      <c r="D89" s="20" t="n"/>
      <c r="E89" s="21" t="n"/>
      <c r="F89" s="21">
        <f>IF(E89="","",E89*0.1)</f>
        <v/>
      </c>
      <c r="G89" s="21">
        <f>IF(E89="","",E89+F89)</f>
        <v/>
      </c>
      <c r="H89" s="19" t="n"/>
      <c r="I89" s="19" t="n"/>
      <c r="J89" s="19" t="n"/>
      <c r="K89" s="21" t="n"/>
      <c r="L89" s="18">
        <f>IF(C89="","",IF(J89="","未入金",IF(K89&gt;=G89,"入金済","一部入金")))</f>
        <v/>
      </c>
    </row>
    <row r="90">
      <c r="A90" s="14">
        <f>IF(C90&lt;&gt;"",ROW()-1,"")</f>
        <v/>
      </c>
      <c r="B90" s="15" t="n"/>
      <c r="C90" s="16" t="n"/>
      <c r="D90" s="16" t="n"/>
      <c r="E90" s="17" t="n"/>
      <c r="F90" s="17">
        <f>IF(E90="","",E90*0.1)</f>
        <v/>
      </c>
      <c r="G90" s="17">
        <f>IF(E90="","",E90+F90)</f>
        <v/>
      </c>
      <c r="H90" s="15" t="n"/>
      <c r="I90" s="15" t="n"/>
      <c r="J90" s="15" t="n"/>
      <c r="K90" s="17" t="n"/>
      <c r="L90" s="14">
        <f>IF(C90="","",IF(J90="","未入金",IF(K90&gt;=G90,"入金済","一部入金")))</f>
        <v/>
      </c>
    </row>
    <row r="91">
      <c r="A91" s="18">
        <f>IF(C91&lt;&gt;"",ROW()-1,"")</f>
        <v/>
      </c>
      <c r="B91" s="19" t="n"/>
      <c r="C91" s="20" t="n"/>
      <c r="D91" s="20" t="n"/>
      <c r="E91" s="21" t="n"/>
      <c r="F91" s="21">
        <f>IF(E91="","",E91*0.1)</f>
        <v/>
      </c>
      <c r="G91" s="21">
        <f>IF(E91="","",E91+F91)</f>
        <v/>
      </c>
      <c r="H91" s="19" t="n"/>
      <c r="I91" s="19" t="n"/>
      <c r="J91" s="19" t="n"/>
      <c r="K91" s="21" t="n"/>
      <c r="L91" s="18">
        <f>IF(C91="","",IF(J91="","未入金",IF(K91&gt;=G91,"入金済","一部入金")))</f>
        <v/>
      </c>
    </row>
    <row r="92">
      <c r="A92" s="14">
        <f>IF(C92&lt;&gt;"",ROW()-1,"")</f>
        <v/>
      </c>
      <c r="B92" s="15" t="n"/>
      <c r="C92" s="16" t="n"/>
      <c r="D92" s="16" t="n"/>
      <c r="E92" s="17" t="n"/>
      <c r="F92" s="17">
        <f>IF(E92="","",E92*0.1)</f>
        <v/>
      </c>
      <c r="G92" s="17">
        <f>IF(E92="","",E92+F92)</f>
        <v/>
      </c>
      <c r="H92" s="15" t="n"/>
      <c r="I92" s="15" t="n"/>
      <c r="J92" s="15" t="n"/>
      <c r="K92" s="17" t="n"/>
      <c r="L92" s="14">
        <f>IF(C92="","",IF(J92="","未入金",IF(K92&gt;=G92,"入金済","一部入金")))</f>
        <v/>
      </c>
    </row>
    <row r="93">
      <c r="A93" s="18">
        <f>IF(C93&lt;&gt;"",ROW()-1,"")</f>
        <v/>
      </c>
      <c r="B93" s="19" t="n"/>
      <c r="C93" s="20" t="n"/>
      <c r="D93" s="20" t="n"/>
      <c r="E93" s="21" t="n"/>
      <c r="F93" s="21">
        <f>IF(E93="","",E93*0.1)</f>
        <v/>
      </c>
      <c r="G93" s="21">
        <f>IF(E93="","",E93+F93)</f>
        <v/>
      </c>
      <c r="H93" s="19" t="n"/>
      <c r="I93" s="19" t="n"/>
      <c r="J93" s="19" t="n"/>
      <c r="K93" s="21" t="n"/>
      <c r="L93" s="18">
        <f>IF(C93="","",IF(J93="","未入金",IF(K93&gt;=G93,"入金済","一部入金")))</f>
        <v/>
      </c>
    </row>
    <row r="94">
      <c r="A94" s="14">
        <f>IF(C94&lt;&gt;"",ROW()-1,"")</f>
        <v/>
      </c>
      <c r="B94" s="15" t="n"/>
      <c r="C94" s="16" t="n"/>
      <c r="D94" s="16" t="n"/>
      <c r="E94" s="17" t="n"/>
      <c r="F94" s="17">
        <f>IF(E94="","",E94*0.1)</f>
        <v/>
      </c>
      <c r="G94" s="17">
        <f>IF(E94="","",E94+F94)</f>
        <v/>
      </c>
      <c r="H94" s="15" t="n"/>
      <c r="I94" s="15" t="n"/>
      <c r="J94" s="15" t="n"/>
      <c r="K94" s="17" t="n"/>
      <c r="L94" s="14">
        <f>IF(C94="","",IF(J94="","未入金",IF(K94&gt;=G94,"入金済","一部入金")))</f>
        <v/>
      </c>
    </row>
    <row r="95">
      <c r="A95" s="18">
        <f>IF(C95&lt;&gt;"",ROW()-1,"")</f>
        <v/>
      </c>
      <c r="B95" s="19" t="n"/>
      <c r="C95" s="20" t="n"/>
      <c r="D95" s="20" t="n"/>
      <c r="E95" s="21" t="n"/>
      <c r="F95" s="21">
        <f>IF(E95="","",E95*0.1)</f>
        <v/>
      </c>
      <c r="G95" s="21">
        <f>IF(E95="","",E95+F95)</f>
        <v/>
      </c>
      <c r="H95" s="19" t="n"/>
      <c r="I95" s="19" t="n"/>
      <c r="J95" s="19" t="n"/>
      <c r="K95" s="21" t="n"/>
      <c r="L95" s="18">
        <f>IF(C95="","",IF(J95="","未入金",IF(K95&gt;=G95,"入金済","一部入金")))</f>
        <v/>
      </c>
    </row>
    <row r="96">
      <c r="A96" s="14">
        <f>IF(C96&lt;&gt;"",ROW()-1,"")</f>
        <v/>
      </c>
      <c r="B96" s="15" t="n"/>
      <c r="C96" s="16" t="n"/>
      <c r="D96" s="16" t="n"/>
      <c r="E96" s="17" t="n"/>
      <c r="F96" s="17">
        <f>IF(E96="","",E96*0.1)</f>
        <v/>
      </c>
      <c r="G96" s="17">
        <f>IF(E96="","",E96+F96)</f>
        <v/>
      </c>
      <c r="H96" s="15" t="n"/>
      <c r="I96" s="15" t="n"/>
      <c r="J96" s="15" t="n"/>
      <c r="K96" s="17" t="n"/>
      <c r="L96" s="14">
        <f>IF(C96="","",IF(J96="","未入金",IF(K96&gt;=G96,"入金済","一部入金")))</f>
        <v/>
      </c>
    </row>
    <row r="97">
      <c r="A97" s="18">
        <f>IF(C97&lt;&gt;"",ROW()-1,"")</f>
        <v/>
      </c>
      <c r="B97" s="19" t="n"/>
      <c r="C97" s="20" t="n"/>
      <c r="D97" s="20" t="n"/>
      <c r="E97" s="21" t="n"/>
      <c r="F97" s="21">
        <f>IF(E97="","",E97*0.1)</f>
        <v/>
      </c>
      <c r="G97" s="21">
        <f>IF(E97="","",E97+F97)</f>
        <v/>
      </c>
      <c r="H97" s="19" t="n"/>
      <c r="I97" s="19" t="n"/>
      <c r="J97" s="19" t="n"/>
      <c r="K97" s="21" t="n"/>
      <c r="L97" s="18">
        <f>IF(C97="","",IF(J97="","未入金",IF(K97&gt;=G97,"入金済","一部入金")))</f>
        <v/>
      </c>
    </row>
    <row r="98">
      <c r="A98" s="14">
        <f>IF(C98&lt;&gt;"",ROW()-1,"")</f>
        <v/>
      </c>
      <c r="B98" s="15" t="n"/>
      <c r="C98" s="16" t="n"/>
      <c r="D98" s="16" t="n"/>
      <c r="E98" s="17" t="n"/>
      <c r="F98" s="17">
        <f>IF(E98="","",E98*0.1)</f>
        <v/>
      </c>
      <c r="G98" s="17">
        <f>IF(E98="","",E98+F98)</f>
        <v/>
      </c>
      <c r="H98" s="15" t="n"/>
      <c r="I98" s="15" t="n"/>
      <c r="J98" s="15" t="n"/>
      <c r="K98" s="17" t="n"/>
      <c r="L98" s="14">
        <f>IF(C98="","",IF(J98="","未入金",IF(K98&gt;=G98,"入金済","一部入金")))</f>
        <v/>
      </c>
    </row>
    <row r="99">
      <c r="A99" s="18">
        <f>IF(C99&lt;&gt;"",ROW()-1,"")</f>
        <v/>
      </c>
      <c r="B99" s="19" t="n"/>
      <c r="C99" s="20" t="n"/>
      <c r="D99" s="20" t="n"/>
      <c r="E99" s="21" t="n"/>
      <c r="F99" s="21">
        <f>IF(E99="","",E99*0.1)</f>
        <v/>
      </c>
      <c r="G99" s="21">
        <f>IF(E99="","",E99+F99)</f>
        <v/>
      </c>
      <c r="H99" s="19" t="n"/>
      <c r="I99" s="19" t="n"/>
      <c r="J99" s="19" t="n"/>
      <c r="K99" s="21" t="n"/>
      <c r="L99" s="18">
        <f>IF(C99="","",IF(J99="","未入金",IF(K99&gt;=G99,"入金済","一部入金")))</f>
        <v/>
      </c>
    </row>
    <row r="100">
      <c r="A100" s="14">
        <f>IF(C100&lt;&gt;"",ROW()-1,"")</f>
        <v/>
      </c>
      <c r="B100" s="15" t="n"/>
      <c r="C100" s="16" t="n"/>
      <c r="D100" s="16" t="n"/>
      <c r="E100" s="17" t="n"/>
      <c r="F100" s="17">
        <f>IF(E100="","",E100*0.1)</f>
        <v/>
      </c>
      <c r="G100" s="17">
        <f>IF(E100="","",E100+F100)</f>
        <v/>
      </c>
      <c r="H100" s="15" t="n"/>
      <c r="I100" s="15" t="n"/>
      <c r="J100" s="15" t="n"/>
      <c r="K100" s="17" t="n"/>
      <c r="L100" s="14">
        <f>IF(C100="","",IF(J100="","未入金",IF(K100&gt;=G100,"入金済","一部入金")))</f>
        <v/>
      </c>
    </row>
    <row r="101">
      <c r="A101" s="18">
        <f>IF(C101&lt;&gt;"",ROW()-1,"")</f>
        <v/>
      </c>
      <c r="B101" s="19" t="n"/>
      <c r="C101" s="20" t="n"/>
      <c r="D101" s="20" t="n"/>
      <c r="E101" s="21" t="n"/>
      <c r="F101" s="21">
        <f>IF(E101="","",E101*0.1)</f>
        <v/>
      </c>
      <c r="G101" s="21">
        <f>IF(E101="","",E101+F101)</f>
        <v/>
      </c>
      <c r="H101" s="19" t="n"/>
      <c r="I101" s="19" t="n"/>
      <c r="J101" s="19" t="n"/>
      <c r="K101" s="21" t="n"/>
      <c r="L101" s="18">
        <f>IF(C101="","",IF(J101="","未入金",IF(K101&gt;=G101,"入金済","一部入金")))</f>
        <v/>
      </c>
    </row>
    <row r="102">
      <c r="A102" s="14">
        <f>IF(C102&lt;&gt;"",ROW()-1,"")</f>
        <v/>
      </c>
      <c r="B102" s="15" t="n"/>
      <c r="C102" s="16" t="n"/>
      <c r="D102" s="16" t="n"/>
      <c r="E102" s="17" t="n"/>
      <c r="F102" s="17">
        <f>IF(E102="","",E102*0.1)</f>
        <v/>
      </c>
      <c r="G102" s="17">
        <f>IF(E102="","",E102+F102)</f>
        <v/>
      </c>
      <c r="H102" s="15" t="n"/>
      <c r="I102" s="15" t="n"/>
      <c r="J102" s="15" t="n"/>
      <c r="K102" s="17" t="n"/>
      <c r="L102" s="14">
        <f>IF(C102="","",IF(J102="","未入金",IF(K102&gt;=G102,"入金済","一部入金")))</f>
        <v/>
      </c>
    </row>
    <row r="103">
      <c r="A103" s="18">
        <f>IF(C103&lt;&gt;"",ROW()-1,"")</f>
        <v/>
      </c>
      <c r="B103" s="19" t="n"/>
      <c r="C103" s="20" t="n"/>
      <c r="D103" s="20" t="n"/>
      <c r="E103" s="21" t="n"/>
      <c r="F103" s="21">
        <f>IF(E103="","",E103*0.1)</f>
        <v/>
      </c>
      <c r="G103" s="21">
        <f>IF(E103="","",E103+F103)</f>
        <v/>
      </c>
      <c r="H103" s="19" t="n"/>
      <c r="I103" s="19" t="n"/>
      <c r="J103" s="19" t="n"/>
      <c r="K103" s="21" t="n"/>
      <c r="L103" s="18">
        <f>IF(C103="","",IF(J103="","未入金",IF(K103&gt;=G103,"入金済","一部入金")))</f>
        <v/>
      </c>
    </row>
    <row r="104">
      <c r="A104" s="14">
        <f>IF(C104&lt;&gt;"",ROW()-1,"")</f>
        <v/>
      </c>
      <c r="B104" s="15" t="n"/>
      <c r="C104" s="16" t="n"/>
      <c r="D104" s="16" t="n"/>
      <c r="E104" s="17" t="n"/>
      <c r="F104" s="17">
        <f>IF(E104="","",E104*0.1)</f>
        <v/>
      </c>
      <c r="G104" s="17">
        <f>IF(E104="","",E104+F104)</f>
        <v/>
      </c>
      <c r="H104" s="15" t="n"/>
      <c r="I104" s="15" t="n"/>
      <c r="J104" s="15" t="n"/>
      <c r="K104" s="17" t="n"/>
      <c r="L104" s="14">
        <f>IF(C104="","",IF(J104="","未入金",IF(K104&gt;=G104,"入金済","一部入金")))</f>
        <v/>
      </c>
    </row>
    <row r="105">
      <c r="A105" s="18">
        <f>IF(C105&lt;&gt;"",ROW()-1,"")</f>
        <v/>
      </c>
      <c r="B105" s="19" t="n"/>
      <c r="C105" s="20" t="n"/>
      <c r="D105" s="20" t="n"/>
      <c r="E105" s="21" t="n"/>
      <c r="F105" s="21">
        <f>IF(E105="","",E105*0.1)</f>
        <v/>
      </c>
      <c r="G105" s="21">
        <f>IF(E105="","",E105+F105)</f>
        <v/>
      </c>
      <c r="H105" s="19" t="n"/>
      <c r="I105" s="19" t="n"/>
      <c r="J105" s="19" t="n"/>
      <c r="K105" s="21" t="n"/>
      <c r="L105" s="18">
        <f>IF(C105="","",IF(J105="","未入金",IF(K105&gt;=G105,"入金済","一部入金")))</f>
        <v/>
      </c>
    </row>
    <row r="106">
      <c r="A106" s="14">
        <f>IF(C106&lt;&gt;"",ROW()-1,"")</f>
        <v/>
      </c>
      <c r="B106" s="15" t="n"/>
      <c r="C106" s="16" t="n"/>
      <c r="D106" s="16" t="n"/>
      <c r="E106" s="17" t="n"/>
      <c r="F106" s="17">
        <f>IF(E106="","",E106*0.1)</f>
        <v/>
      </c>
      <c r="G106" s="17">
        <f>IF(E106="","",E106+F106)</f>
        <v/>
      </c>
      <c r="H106" s="15" t="n"/>
      <c r="I106" s="15" t="n"/>
      <c r="J106" s="15" t="n"/>
      <c r="K106" s="17" t="n"/>
      <c r="L106" s="14">
        <f>IF(C106="","",IF(J106="","未入金",IF(K106&gt;=G106,"入金済","一部入金")))</f>
        <v/>
      </c>
    </row>
    <row r="107">
      <c r="A107" s="18">
        <f>IF(C107&lt;&gt;"",ROW()-1,"")</f>
        <v/>
      </c>
      <c r="B107" s="19" t="n"/>
      <c r="C107" s="20" t="n"/>
      <c r="D107" s="20" t="n"/>
      <c r="E107" s="21" t="n"/>
      <c r="F107" s="21">
        <f>IF(E107="","",E107*0.1)</f>
        <v/>
      </c>
      <c r="G107" s="21">
        <f>IF(E107="","",E107+F107)</f>
        <v/>
      </c>
      <c r="H107" s="19" t="n"/>
      <c r="I107" s="19" t="n"/>
      <c r="J107" s="19" t="n"/>
      <c r="K107" s="21" t="n"/>
      <c r="L107" s="18">
        <f>IF(C107="","",IF(J107="","未入金",IF(K107&gt;=G107,"入金済","一部入金")))</f>
        <v/>
      </c>
    </row>
    <row r="108">
      <c r="A108" s="14">
        <f>IF(C108&lt;&gt;"",ROW()-1,"")</f>
        <v/>
      </c>
      <c r="B108" s="15" t="n"/>
      <c r="C108" s="16" t="n"/>
      <c r="D108" s="16" t="n"/>
      <c r="E108" s="17" t="n"/>
      <c r="F108" s="17">
        <f>IF(E108="","",E108*0.1)</f>
        <v/>
      </c>
      <c r="G108" s="17">
        <f>IF(E108="","",E108+F108)</f>
        <v/>
      </c>
      <c r="H108" s="15" t="n"/>
      <c r="I108" s="15" t="n"/>
      <c r="J108" s="15" t="n"/>
      <c r="K108" s="17" t="n"/>
      <c r="L108" s="14">
        <f>IF(C108="","",IF(J108="","未入金",IF(K108&gt;=G108,"入金済","一部入金")))</f>
        <v/>
      </c>
    </row>
    <row r="109">
      <c r="A109" s="18">
        <f>IF(C109&lt;&gt;"",ROW()-1,"")</f>
        <v/>
      </c>
      <c r="B109" s="19" t="n"/>
      <c r="C109" s="20" t="n"/>
      <c r="D109" s="20" t="n"/>
      <c r="E109" s="21" t="n"/>
      <c r="F109" s="21">
        <f>IF(E109="","",E109*0.1)</f>
        <v/>
      </c>
      <c r="G109" s="21">
        <f>IF(E109="","",E109+F109)</f>
        <v/>
      </c>
      <c r="H109" s="19" t="n"/>
      <c r="I109" s="19" t="n"/>
      <c r="J109" s="19" t="n"/>
      <c r="K109" s="21" t="n"/>
      <c r="L109" s="18">
        <f>IF(C109="","",IF(J109="","未入金",IF(K109&gt;=G109,"入金済","一部入金")))</f>
        <v/>
      </c>
    </row>
    <row r="110">
      <c r="A110" s="14">
        <f>IF(C110&lt;&gt;"",ROW()-1,"")</f>
        <v/>
      </c>
      <c r="B110" s="15" t="n"/>
      <c r="C110" s="16" t="n"/>
      <c r="D110" s="16" t="n"/>
      <c r="E110" s="17" t="n"/>
      <c r="F110" s="17">
        <f>IF(E110="","",E110*0.1)</f>
        <v/>
      </c>
      <c r="G110" s="17">
        <f>IF(E110="","",E110+F110)</f>
        <v/>
      </c>
      <c r="H110" s="15" t="n"/>
      <c r="I110" s="15" t="n"/>
      <c r="J110" s="15" t="n"/>
      <c r="K110" s="17" t="n"/>
      <c r="L110" s="14">
        <f>IF(C110="","",IF(J110="","未入金",IF(K110&gt;=G110,"入金済","一部入金")))</f>
        <v/>
      </c>
    </row>
    <row r="111">
      <c r="A111" s="18">
        <f>IF(C111&lt;&gt;"",ROW()-1,"")</f>
        <v/>
      </c>
      <c r="B111" s="19" t="n"/>
      <c r="C111" s="20" t="n"/>
      <c r="D111" s="20" t="n"/>
      <c r="E111" s="21" t="n"/>
      <c r="F111" s="21">
        <f>IF(E111="","",E111*0.1)</f>
        <v/>
      </c>
      <c r="G111" s="21">
        <f>IF(E111="","",E111+F111)</f>
        <v/>
      </c>
      <c r="H111" s="19" t="n"/>
      <c r="I111" s="19" t="n"/>
      <c r="J111" s="19" t="n"/>
      <c r="K111" s="21" t="n"/>
      <c r="L111" s="18">
        <f>IF(C111="","",IF(J111="","未入金",IF(K111&gt;=G111,"入金済","一部入金")))</f>
        <v/>
      </c>
    </row>
    <row r="112">
      <c r="A112" s="14">
        <f>IF(C112&lt;&gt;"",ROW()-1,"")</f>
        <v/>
      </c>
      <c r="B112" s="15" t="n"/>
      <c r="C112" s="16" t="n"/>
      <c r="D112" s="16" t="n"/>
      <c r="E112" s="17" t="n"/>
      <c r="F112" s="17">
        <f>IF(E112="","",E112*0.1)</f>
        <v/>
      </c>
      <c r="G112" s="17">
        <f>IF(E112="","",E112+F112)</f>
        <v/>
      </c>
      <c r="H112" s="15" t="n"/>
      <c r="I112" s="15" t="n"/>
      <c r="J112" s="15" t="n"/>
      <c r="K112" s="17" t="n"/>
      <c r="L112" s="14">
        <f>IF(C112="","",IF(J112="","未入金",IF(K112&gt;=G112,"入金済","一部入金")))</f>
        <v/>
      </c>
    </row>
    <row r="113">
      <c r="A113" s="18">
        <f>IF(C113&lt;&gt;"",ROW()-1,"")</f>
        <v/>
      </c>
      <c r="B113" s="19" t="n"/>
      <c r="C113" s="20" t="n"/>
      <c r="D113" s="20" t="n"/>
      <c r="E113" s="21" t="n"/>
      <c r="F113" s="21">
        <f>IF(E113="","",E113*0.1)</f>
        <v/>
      </c>
      <c r="G113" s="21">
        <f>IF(E113="","",E113+F113)</f>
        <v/>
      </c>
      <c r="H113" s="19" t="n"/>
      <c r="I113" s="19" t="n"/>
      <c r="J113" s="19" t="n"/>
      <c r="K113" s="21" t="n"/>
      <c r="L113" s="18">
        <f>IF(C113="","",IF(J113="","未入金",IF(K113&gt;=G113,"入金済","一部入金")))</f>
        <v/>
      </c>
    </row>
    <row r="114">
      <c r="A114" s="14">
        <f>IF(C114&lt;&gt;"",ROW()-1,"")</f>
        <v/>
      </c>
      <c r="B114" s="15" t="n"/>
      <c r="C114" s="16" t="n"/>
      <c r="D114" s="16" t="n"/>
      <c r="E114" s="17" t="n"/>
      <c r="F114" s="17">
        <f>IF(E114="","",E114*0.1)</f>
        <v/>
      </c>
      <c r="G114" s="17">
        <f>IF(E114="","",E114+F114)</f>
        <v/>
      </c>
      <c r="H114" s="15" t="n"/>
      <c r="I114" s="15" t="n"/>
      <c r="J114" s="15" t="n"/>
      <c r="K114" s="17" t="n"/>
      <c r="L114" s="14">
        <f>IF(C114="","",IF(J114="","未入金",IF(K114&gt;=G114,"入金済","一部入金")))</f>
        <v/>
      </c>
    </row>
    <row r="115">
      <c r="A115" s="18">
        <f>IF(C115&lt;&gt;"",ROW()-1,"")</f>
        <v/>
      </c>
      <c r="B115" s="19" t="n"/>
      <c r="C115" s="20" t="n"/>
      <c r="D115" s="20" t="n"/>
      <c r="E115" s="21" t="n"/>
      <c r="F115" s="21">
        <f>IF(E115="","",E115*0.1)</f>
        <v/>
      </c>
      <c r="G115" s="21">
        <f>IF(E115="","",E115+F115)</f>
        <v/>
      </c>
      <c r="H115" s="19" t="n"/>
      <c r="I115" s="19" t="n"/>
      <c r="J115" s="19" t="n"/>
      <c r="K115" s="21" t="n"/>
      <c r="L115" s="18">
        <f>IF(C115="","",IF(J115="","未入金",IF(K115&gt;=G115,"入金済","一部入金")))</f>
        <v/>
      </c>
    </row>
    <row r="116">
      <c r="A116" s="14">
        <f>IF(C116&lt;&gt;"",ROW()-1,"")</f>
        <v/>
      </c>
      <c r="B116" s="15" t="n"/>
      <c r="C116" s="16" t="n"/>
      <c r="D116" s="16" t="n"/>
      <c r="E116" s="17" t="n"/>
      <c r="F116" s="17">
        <f>IF(E116="","",E116*0.1)</f>
        <v/>
      </c>
      <c r="G116" s="17">
        <f>IF(E116="","",E116+F116)</f>
        <v/>
      </c>
      <c r="H116" s="15" t="n"/>
      <c r="I116" s="15" t="n"/>
      <c r="J116" s="15" t="n"/>
      <c r="K116" s="17" t="n"/>
      <c r="L116" s="14">
        <f>IF(C116="","",IF(J116="","未入金",IF(K116&gt;=G116,"入金済","一部入金")))</f>
        <v/>
      </c>
    </row>
    <row r="117">
      <c r="A117" s="18">
        <f>IF(C117&lt;&gt;"",ROW()-1,"")</f>
        <v/>
      </c>
      <c r="B117" s="19" t="n"/>
      <c r="C117" s="20" t="n"/>
      <c r="D117" s="20" t="n"/>
      <c r="E117" s="21" t="n"/>
      <c r="F117" s="21">
        <f>IF(E117="","",E117*0.1)</f>
        <v/>
      </c>
      <c r="G117" s="21">
        <f>IF(E117="","",E117+F117)</f>
        <v/>
      </c>
      <c r="H117" s="19" t="n"/>
      <c r="I117" s="19" t="n"/>
      <c r="J117" s="19" t="n"/>
      <c r="K117" s="21" t="n"/>
      <c r="L117" s="18">
        <f>IF(C117="","",IF(J117="","未入金",IF(K117&gt;=G117,"入金済","一部入金")))</f>
        <v/>
      </c>
    </row>
    <row r="118">
      <c r="A118" s="14">
        <f>IF(C118&lt;&gt;"",ROW()-1,"")</f>
        <v/>
      </c>
      <c r="B118" s="15" t="n"/>
      <c r="C118" s="16" t="n"/>
      <c r="D118" s="16" t="n"/>
      <c r="E118" s="17" t="n"/>
      <c r="F118" s="17">
        <f>IF(E118="","",E118*0.1)</f>
        <v/>
      </c>
      <c r="G118" s="17">
        <f>IF(E118="","",E118+F118)</f>
        <v/>
      </c>
      <c r="H118" s="15" t="n"/>
      <c r="I118" s="15" t="n"/>
      <c r="J118" s="15" t="n"/>
      <c r="K118" s="17" t="n"/>
      <c r="L118" s="14">
        <f>IF(C118="","",IF(J118="","未入金",IF(K118&gt;=G118,"入金済","一部入金")))</f>
        <v/>
      </c>
    </row>
    <row r="119">
      <c r="A119" s="18">
        <f>IF(C119&lt;&gt;"",ROW()-1,"")</f>
        <v/>
      </c>
      <c r="B119" s="19" t="n"/>
      <c r="C119" s="20" t="n"/>
      <c r="D119" s="20" t="n"/>
      <c r="E119" s="21" t="n"/>
      <c r="F119" s="21">
        <f>IF(E119="","",E119*0.1)</f>
        <v/>
      </c>
      <c r="G119" s="21">
        <f>IF(E119="","",E119+F119)</f>
        <v/>
      </c>
      <c r="H119" s="19" t="n"/>
      <c r="I119" s="19" t="n"/>
      <c r="J119" s="19" t="n"/>
      <c r="K119" s="21" t="n"/>
      <c r="L119" s="18">
        <f>IF(C119="","",IF(J119="","未入金",IF(K119&gt;=G119,"入金済","一部入金")))</f>
        <v/>
      </c>
    </row>
    <row r="120">
      <c r="A120" s="14">
        <f>IF(C120&lt;&gt;"",ROW()-1,"")</f>
        <v/>
      </c>
      <c r="B120" s="15" t="n"/>
      <c r="C120" s="16" t="n"/>
      <c r="D120" s="16" t="n"/>
      <c r="E120" s="17" t="n"/>
      <c r="F120" s="17">
        <f>IF(E120="","",E120*0.1)</f>
        <v/>
      </c>
      <c r="G120" s="17">
        <f>IF(E120="","",E120+F120)</f>
        <v/>
      </c>
      <c r="H120" s="15" t="n"/>
      <c r="I120" s="15" t="n"/>
      <c r="J120" s="15" t="n"/>
      <c r="K120" s="17" t="n"/>
      <c r="L120" s="14">
        <f>IF(C120="","",IF(J120="","未入金",IF(K120&gt;=G120,"入金済","一部入金")))</f>
        <v/>
      </c>
    </row>
    <row r="121">
      <c r="A121" s="18">
        <f>IF(C121&lt;&gt;"",ROW()-1,"")</f>
        <v/>
      </c>
      <c r="B121" s="19" t="n"/>
      <c r="C121" s="20" t="n"/>
      <c r="D121" s="20" t="n"/>
      <c r="E121" s="21" t="n"/>
      <c r="F121" s="21">
        <f>IF(E121="","",E121*0.1)</f>
        <v/>
      </c>
      <c r="G121" s="21">
        <f>IF(E121="","",E121+F121)</f>
        <v/>
      </c>
      <c r="H121" s="19" t="n"/>
      <c r="I121" s="19" t="n"/>
      <c r="J121" s="19" t="n"/>
      <c r="K121" s="21" t="n"/>
      <c r="L121" s="18">
        <f>IF(C121="","",IF(J121="","未入金",IF(K121&gt;=G121,"入金済","一部入金")))</f>
        <v/>
      </c>
    </row>
    <row r="122">
      <c r="A122" s="14">
        <f>IF(C122&lt;&gt;"",ROW()-1,"")</f>
        <v/>
      </c>
      <c r="B122" s="15" t="n"/>
      <c r="C122" s="16" t="n"/>
      <c r="D122" s="16" t="n"/>
      <c r="E122" s="17" t="n"/>
      <c r="F122" s="17">
        <f>IF(E122="","",E122*0.1)</f>
        <v/>
      </c>
      <c r="G122" s="17">
        <f>IF(E122="","",E122+F122)</f>
        <v/>
      </c>
      <c r="H122" s="15" t="n"/>
      <c r="I122" s="15" t="n"/>
      <c r="J122" s="15" t="n"/>
      <c r="K122" s="17" t="n"/>
      <c r="L122" s="14">
        <f>IF(C122="","",IF(J122="","未入金",IF(K122&gt;=G122,"入金済","一部入金")))</f>
        <v/>
      </c>
    </row>
    <row r="123">
      <c r="A123" s="18">
        <f>IF(C123&lt;&gt;"",ROW()-1,"")</f>
        <v/>
      </c>
      <c r="B123" s="19" t="n"/>
      <c r="C123" s="20" t="n"/>
      <c r="D123" s="20" t="n"/>
      <c r="E123" s="21" t="n"/>
      <c r="F123" s="21">
        <f>IF(E123="","",E123*0.1)</f>
        <v/>
      </c>
      <c r="G123" s="21">
        <f>IF(E123="","",E123+F123)</f>
        <v/>
      </c>
      <c r="H123" s="19" t="n"/>
      <c r="I123" s="19" t="n"/>
      <c r="J123" s="19" t="n"/>
      <c r="K123" s="21" t="n"/>
      <c r="L123" s="18">
        <f>IF(C123="","",IF(J123="","未入金",IF(K123&gt;=G123,"入金済","一部入金")))</f>
        <v/>
      </c>
    </row>
    <row r="124">
      <c r="A124" s="14">
        <f>IF(C124&lt;&gt;"",ROW()-1,"")</f>
        <v/>
      </c>
      <c r="B124" s="15" t="n"/>
      <c r="C124" s="16" t="n"/>
      <c r="D124" s="16" t="n"/>
      <c r="E124" s="17" t="n"/>
      <c r="F124" s="17">
        <f>IF(E124="","",E124*0.1)</f>
        <v/>
      </c>
      <c r="G124" s="17">
        <f>IF(E124="","",E124+F124)</f>
        <v/>
      </c>
      <c r="H124" s="15" t="n"/>
      <c r="I124" s="15" t="n"/>
      <c r="J124" s="15" t="n"/>
      <c r="K124" s="17" t="n"/>
      <c r="L124" s="14">
        <f>IF(C124="","",IF(J124="","未入金",IF(K124&gt;=G124,"入金済","一部入金")))</f>
        <v/>
      </c>
    </row>
    <row r="125">
      <c r="A125" s="18">
        <f>IF(C125&lt;&gt;"",ROW()-1,"")</f>
        <v/>
      </c>
      <c r="B125" s="19" t="n"/>
      <c r="C125" s="20" t="n"/>
      <c r="D125" s="20" t="n"/>
      <c r="E125" s="21" t="n"/>
      <c r="F125" s="21">
        <f>IF(E125="","",E125*0.1)</f>
        <v/>
      </c>
      <c r="G125" s="21">
        <f>IF(E125="","",E125+F125)</f>
        <v/>
      </c>
      <c r="H125" s="19" t="n"/>
      <c r="I125" s="19" t="n"/>
      <c r="J125" s="19" t="n"/>
      <c r="K125" s="21" t="n"/>
      <c r="L125" s="18">
        <f>IF(C125="","",IF(J125="","未入金",IF(K125&gt;=G125,"入金済","一部入金")))</f>
        <v/>
      </c>
    </row>
    <row r="126">
      <c r="A126" s="14">
        <f>IF(C126&lt;&gt;"",ROW()-1,"")</f>
        <v/>
      </c>
      <c r="B126" s="15" t="n"/>
      <c r="C126" s="16" t="n"/>
      <c r="D126" s="16" t="n"/>
      <c r="E126" s="17" t="n"/>
      <c r="F126" s="17">
        <f>IF(E126="","",E126*0.1)</f>
        <v/>
      </c>
      <c r="G126" s="17">
        <f>IF(E126="","",E126+F126)</f>
        <v/>
      </c>
      <c r="H126" s="15" t="n"/>
      <c r="I126" s="15" t="n"/>
      <c r="J126" s="15" t="n"/>
      <c r="K126" s="17" t="n"/>
      <c r="L126" s="14">
        <f>IF(C126="","",IF(J126="","未入金",IF(K126&gt;=G126,"入金済","一部入金")))</f>
        <v/>
      </c>
    </row>
    <row r="127">
      <c r="A127" s="18">
        <f>IF(C127&lt;&gt;"",ROW()-1,"")</f>
        <v/>
      </c>
      <c r="B127" s="19" t="n"/>
      <c r="C127" s="20" t="n"/>
      <c r="D127" s="20" t="n"/>
      <c r="E127" s="21" t="n"/>
      <c r="F127" s="21">
        <f>IF(E127="","",E127*0.1)</f>
        <v/>
      </c>
      <c r="G127" s="21">
        <f>IF(E127="","",E127+F127)</f>
        <v/>
      </c>
      <c r="H127" s="19" t="n"/>
      <c r="I127" s="19" t="n"/>
      <c r="J127" s="19" t="n"/>
      <c r="K127" s="21" t="n"/>
      <c r="L127" s="18">
        <f>IF(C127="","",IF(J127="","未入金",IF(K127&gt;=G127,"入金済","一部入金")))</f>
        <v/>
      </c>
    </row>
    <row r="128">
      <c r="A128" s="14">
        <f>IF(C128&lt;&gt;"",ROW()-1,"")</f>
        <v/>
      </c>
      <c r="B128" s="15" t="n"/>
      <c r="C128" s="16" t="n"/>
      <c r="D128" s="16" t="n"/>
      <c r="E128" s="17" t="n"/>
      <c r="F128" s="17">
        <f>IF(E128="","",E128*0.1)</f>
        <v/>
      </c>
      <c r="G128" s="17">
        <f>IF(E128="","",E128+F128)</f>
        <v/>
      </c>
      <c r="H128" s="15" t="n"/>
      <c r="I128" s="15" t="n"/>
      <c r="J128" s="15" t="n"/>
      <c r="K128" s="17" t="n"/>
      <c r="L128" s="14">
        <f>IF(C128="","",IF(J128="","未入金",IF(K128&gt;=G128,"入金済","一部入金")))</f>
        <v/>
      </c>
    </row>
    <row r="129">
      <c r="A129" s="18">
        <f>IF(C129&lt;&gt;"",ROW()-1,"")</f>
        <v/>
      </c>
      <c r="B129" s="19" t="n"/>
      <c r="C129" s="20" t="n"/>
      <c r="D129" s="20" t="n"/>
      <c r="E129" s="21" t="n"/>
      <c r="F129" s="21">
        <f>IF(E129="","",E129*0.1)</f>
        <v/>
      </c>
      <c r="G129" s="21">
        <f>IF(E129="","",E129+F129)</f>
        <v/>
      </c>
      <c r="H129" s="19" t="n"/>
      <c r="I129" s="19" t="n"/>
      <c r="J129" s="19" t="n"/>
      <c r="K129" s="21" t="n"/>
      <c r="L129" s="18">
        <f>IF(C129="","",IF(J129="","未入金",IF(K129&gt;=G129,"入金済","一部入金")))</f>
        <v/>
      </c>
    </row>
    <row r="130">
      <c r="A130" s="14">
        <f>IF(C130&lt;&gt;"",ROW()-1,"")</f>
        <v/>
      </c>
      <c r="B130" s="15" t="n"/>
      <c r="C130" s="16" t="n"/>
      <c r="D130" s="16" t="n"/>
      <c r="E130" s="17" t="n"/>
      <c r="F130" s="17">
        <f>IF(E130="","",E130*0.1)</f>
        <v/>
      </c>
      <c r="G130" s="17">
        <f>IF(E130="","",E130+F130)</f>
        <v/>
      </c>
      <c r="H130" s="15" t="n"/>
      <c r="I130" s="15" t="n"/>
      <c r="J130" s="15" t="n"/>
      <c r="K130" s="17" t="n"/>
      <c r="L130" s="14">
        <f>IF(C130="","",IF(J130="","未入金",IF(K130&gt;=G130,"入金済","一部入金")))</f>
        <v/>
      </c>
    </row>
    <row r="131">
      <c r="A131" s="18">
        <f>IF(C131&lt;&gt;"",ROW()-1,"")</f>
        <v/>
      </c>
      <c r="B131" s="19" t="n"/>
      <c r="C131" s="20" t="n"/>
      <c r="D131" s="20" t="n"/>
      <c r="E131" s="21" t="n"/>
      <c r="F131" s="21">
        <f>IF(E131="","",E131*0.1)</f>
        <v/>
      </c>
      <c r="G131" s="21">
        <f>IF(E131="","",E131+F131)</f>
        <v/>
      </c>
      <c r="H131" s="19" t="n"/>
      <c r="I131" s="19" t="n"/>
      <c r="J131" s="19" t="n"/>
      <c r="K131" s="21" t="n"/>
      <c r="L131" s="18">
        <f>IF(C131="","",IF(J131="","未入金",IF(K131&gt;=G131,"入金済","一部入金")))</f>
        <v/>
      </c>
    </row>
    <row r="132">
      <c r="A132" s="14">
        <f>IF(C132&lt;&gt;"",ROW()-1,"")</f>
        <v/>
      </c>
      <c r="B132" s="15" t="n"/>
      <c r="C132" s="16" t="n"/>
      <c r="D132" s="16" t="n"/>
      <c r="E132" s="17" t="n"/>
      <c r="F132" s="17">
        <f>IF(E132="","",E132*0.1)</f>
        <v/>
      </c>
      <c r="G132" s="17">
        <f>IF(E132="","",E132+F132)</f>
        <v/>
      </c>
      <c r="H132" s="15" t="n"/>
      <c r="I132" s="15" t="n"/>
      <c r="J132" s="15" t="n"/>
      <c r="K132" s="17" t="n"/>
      <c r="L132" s="14">
        <f>IF(C132="","",IF(J132="","未入金",IF(K132&gt;=G132,"入金済","一部入金")))</f>
        <v/>
      </c>
    </row>
    <row r="133">
      <c r="A133" s="18">
        <f>IF(C133&lt;&gt;"",ROW()-1,"")</f>
        <v/>
      </c>
      <c r="B133" s="19" t="n"/>
      <c r="C133" s="20" t="n"/>
      <c r="D133" s="20" t="n"/>
      <c r="E133" s="21" t="n"/>
      <c r="F133" s="21">
        <f>IF(E133="","",E133*0.1)</f>
        <v/>
      </c>
      <c r="G133" s="21">
        <f>IF(E133="","",E133+F133)</f>
        <v/>
      </c>
      <c r="H133" s="19" t="n"/>
      <c r="I133" s="19" t="n"/>
      <c r="J133" s="19" t="n"/>
      <c r="K133" s="21" t="n"/>
      <c r="L133" s="18">
        <f>IF(C133="","",IF(J133="","未入金",IF(K133&gt;=G133,"入金済","一部入金")))</f>
        <v/>
      </c>
    </row>
    <row r="134">
      <c r="A134" s="14">
        <f>IF(C134&lt;&gt;"",ROW()-1,"")</f>
        <v/>
      </c>
      <c r="B134" s="15" t="n"/>
      <c r="C134" s="16" t="n"/>
      <c r="D134" s="16" t="n"/>
      <c r="E134" s="17" t="n"/>
      <c r="F134" s="17">
        <f>IF(E134="","",E134*0.1)</f>
        <v/>
      </c>
      <c r="G134" s="17">
        <f>IF(E134="","",E134+F134)</f>
        <v/>
      </c>
      <c r="H134" s="15" t="n"/>
      <c r="I134" s="15" t="n"/>
      <c r="J134" s="15" t="n"/>
      <c r="K134" s="17" t="n"/>
      <c r="L134" s="14">
        <f>IF(C134="","",IF(J134="","未入金",IF(K134&gt;=G134,"入金済","一部入金")))</f>
        <v/>
      </c>
    </row>
    <row r="135">
      <c r="A135" s="18">
        <f>IF(C135&lt;&gt;"",ROW()-1,"")</f>
        <v/>
      </c>
      <c r="B135" s="19" t="n"/>
      <c r="C135" s="20" t="n"/>
      <c r="D135" s="20" t="n"/>
      <c r="E135" s="21" t="n"/>
      <c r="F135" s="21">
        <f>IF(E135="","",E135*0.1)</f>
        <v/>
      </c>
      <c r="G135" s="21">
        <f>IF(E135="","",E135+F135)</f>
        <v/>
      </c>
      <c r="H135" s="19" t="n"/>
      <c r="I135" s="19" t="n"/>
      <c r="J135" s="19" t="n"/>
      <c r="K135" s="21" t="n"/>
      <c r="L135" s="18">
        <f>IF(C135="","",IF(J135="","未入金",IF(K135&gt;=G135,"入金済","一部入金")))</f>
        <v/>
      </c>
    </row>
    <row r="136">
      <c r="A136" s="14">
        <f>IF(C136&lt;&gt;"",ROW()-1,"")</f>
        <v/>
      </c>
      <c r="B136" s="15" t="n"/>
      <c r="C136" s="16" t="n"/>
      <c r="D136" s="16" t="n"/>
      <c r="E136" s="17" t="n"/>
      <c r="F136" s="17">
        <f>IF(E136="","",E136*0.1)</f>
        <v/>
      </c>
      <c r="G136" s="17">
        <f>IF(E136="","",E136+F136)</f>
        <v/>
      </c>
      <c r="H136" s="15" t="n"/>
      <c r="I136" s="15" t="n"/>
      <c r="J136" s="15" t="n"/>
      <c r="K136" s="17" t="n"/>
      <c r="L136" s="14">
        <f>IF(C136="","",IF(J136="","未入金",IF(K136&gt;=G136,"入金済","一部入金")))</f>
        <v/>
      </c>
    </row>
    <row r="137">
      <c r="A137" s="18">
        <f>IF(C137&lt;&gt;"",ROW()-1,"")</f>
        <v/>
      </c>
      <c r="B137" s="19" t="n"/>
      <c r="C137" s="20" t="n"/>
      <c r="D137" s="20" t="n"/>
      <c r="E137" s="21" t="n"/>
      <c r="F137" s="21">
        <f>IF(E137="","",E137*0.1)</f>
        <v/>
      </c>
      <c r="G137" s="21">
        <f>IF(E137="","",E137+F137)</f>
        <v/>
      </c>
      <c r="H137" s="19" t="n"/>
      <c r="I137" s="19" t="n"/>
      <c r="J137" s="19" t="n"/>
      <c r="K137" s="21" t="n"/>
      <c r="L137" s="18">
        <f>IF(C137="","",IF(J137="","未入金",IF(K137&gt;=G137,"入金済","一部入金")))</f>
        <v/>
      </c>
    </row>
    <row r="138">
      <c r="A138" s="14">
        <f>IF(C138&lt;&gt;"",ROW()-1,"")</f>
        <v/>
      </c>
      <c r="B138" s="15" t="n"/>
      <c r="C138" s="16" t="n"/>
      <c r="D138" s="16" t="n"/>
      <c r="E138" s="17" t="n"/>
      <c r="F138" s="17">
        <f>IF(E138="","",E138*0.1)</f>
        <v/>
      </c>
      <c r="G138" s="17">
        <f>IF(E138="","",E138+F138)</f>
        <v/>
      </c>
      <c r="H138" s="15" t="n"/>
      <c r="I138" s="15" t="n"/>
      <c r="J138" s="15" t="n"/>
      <c r="K138" s="17" t="n"/>
      <c r="L138" s="14">
        <f>IF(C138="","",IF(J138="","未入金",IF(K138&gt;=G138,"入金済","一部入金")))</f>
        <v/>
      </c>
    </row>
    <row r="139">
      <c r="A139" s="18">
        <f>IF(C139&lt;&gt;"",ROW()-1,"")</f>
        <v/>
      </c>
      <c r="B139" s="19" t="n"/>
      <c r="C139" s="20" t="n"/>
      <c r="D139" s="20" t="n"/>
      <c r="E139" s="21" t="n"/>
      <c r="F139" s="21">
        <f>IF(E139="","",E139*0.1)</f>
        <v/>
      </c>
      <c r="G139" s="21">
        <f>IF(E139="","",E139+F139)</f>
        <v/>
      </c>
      <c r="H139" s="19" t="n"/>
      <c r="I139" s="19" t="n"/>
      <c r="J139" s="19" t="n"/>
      <c r="K139" s="21" t="n"/>
      <c r="L139" s="18">
        <f>IF(C139="","",IF(J139="","未入金",IF(K139&gt;=G139,"入金済","一部入金")))</f>
        <v/>
      </c>
    </row>
    <row r="140">
      <c r="A140" s="14">
        <f>IF(C140&lt;&gt;"",ROW()-1,"")</f>
        <v/>
      </c>
      <c r="B140" s="15" t="n"/>
      <c r="C140" s="16" t="n"/>
      <c r="D140" s="16" t="n"/>
      <c r="E140" s="17" t="n"/>
      <c r="F140" s="17">
        <f>IF(E140="","",E140*0.1)</f>
        <v/>
      </c>
      <c r="G140" s="17">
        <f>IF(E140="","",E140+F140)</f>
        <v/>
      </c>
      <c r="H140" s="15" t="n"/>
      <c r="I140" s="15" t="n"/>
      <c r="J140" s="15" t="n"/>
      <c r="K140" s="17" t="n"/>
      <c r="L140" s="14">
        <f>IF(C140="","",IF(J140="","未入金",IF(K140&gt;=G140,"入金済","一部入金")))</f>
        <v/>
      </c>
    </row>
    <row r="141">
      <c r="A141" s="18">
        <f>IF(C141&lt;&gt;"",ROW()-1,"")</f>
        <v/>
      </c>
      <c r="B141" s="19" t="n"/>
      <c r="C141" s="20" t="n"/>
      <c r="D141" s="20" t="n"/>
      <c r="E141" s="21" t="n"/>
      <c r="F141" s="21">
        <f>IF(E141="","",E141*0.1)</f>
        <v/>
      </c>
      <c r="G141" s="21">
        <f>IF(E141="","",E141+F141)</f>
        <v/>
      </c>
      <c r="H141" s="19" t="n"/>
      <c r="I141" s="19" t="n"/>
      <c r="J141" s="19" t="n"/>
      <c r="K141" s="21" t="n"/>
      <c r="L141" s="18">
        <f>IF(C141="","",IF(J141="","未入金",IF(K141&gt;=G141,"入金済","一部入金")))</f>
        <v/>
      </c>
    </row>
    <row r="142">
      <c r="A142" s="14">
        <f>IF(C142&lt;&gt;"",ROW()-1,"")</f>
        <v/>
      </c>
      <c r="B142" s="15" t="n"/>
      <c r="C142" s="16" t="n"/>
      <c r="D142" s="16" t="n"/>
      <c r="E142" s="17" t="n"/>
      <c r="F142" s="17">
        <f>IF(E142="","",E142*0.1)</f>
        <v/>
      </c>
      <c r="G142" s="17">
        <f>IF(E142="","",E142+F142)</f>
        <v/>
      </c>
      <c r="H142" s="15" t="n"/>
      <c r="I142" s="15" t="n"/>
      <c r="J142" s="15" t="n"/>
      <c r="K142" s="17" t="n"/>
      <c r="L142" s="14">
        <f>IF(C142="","",IF(J142="","未入金",IF(K142&gt;=G142,"入金済","一部入金")))</f>
        <v/>
      </c>
    </row>
    <row r="143">
      <c r="A143" s="18">
        <f>IF(C143&lt;&gt;"",ROW()-1,"")</f>
        <v/>
      </c>
      <c r="B143" s="19" t="n"/>
      <c r="C143" s="20" t="n"/>
      <c r="D143" s="20" t="n"/>
      <c r="E143" s="21" t="n"/>
      <c r="F143" s="21">
        <f>IF(E143="","",E143*0.1)</f>
        <v/>
      </c>
      <c r="G143" s="21">
        <f>IF(E143="","",E143+F143)</f>
        <v/>
      </c>
      <c r="H143" s="19" t="n"/>
      <c r="I143" s="19" t="n"/>
      <c r="J143" s="19" t="n"/>
      <c r="K143" s="21" t="n"/>
      <c r="L143" s="18">
        <f>IF(C143="","",IF(J143="","未入金",IF(K143&gt;=G143,"入金済","一部入金")))</f>
        <v/>
      </c>
    </row>
    <row r="144">
      <c r="A144" s="14">
        <f>IF(C144&lt;&gt;"",ROW()-1,"")</f>
        <v/>
      </c>
      <c r="B144" s="15" t="n"/>
      <c r="C144" s="16" t="n"/>
      <c r="D144" s="16" t="n"/>
      <c r="E144" s="17" t="n"/>
      <c r="F144" s="17">
        <f>IF(E144="","",E144*0.1)</f>
        <v/>
      </c>
      <c r="G144" s="17">
        <f>IF(E144="","",E144+F144)</f>
        <v/>
      </c>
      <c r="H144" s="15" t="n"/>
      <c r="I144" s="15" t="n"/>
      <c r="J144" s="15" t="n"/>
      <c r="K144" s="17" t="n"/>
      <c r="L144" s="14">
        <f>IF(C144="","",IF(J144="","未入金",IF(K144&gt;=G144,"入金済","一部入金")))</f>
        <v/>
      </c>
    </row>
    <row r="145">
      <c r="A145" s="18">
        <f>IF(C145&lt;&gt;"",ROW()-1,"")</f>
        <v/>
      </c>
      <c r="B145" s="19" t="n"/>
      <c r="C145" s="20" t="n"/>
      <c r="D145" s="20" t="n"/>
      <c r="E145" s="21" t="n"/>
      <c r="F145" s="21">
        <f>IF(E145="","",E145*0.1)</f>
        <v/>
      </c>
      <c r="G145" s="21">
        <f>IF(E145="","",E145+F145)</f>
        <v/>
      </c>
      <c r="H145" s="19" t="n"/>
      <c r="I145" s="19" t="n"/>
      <c r="J145" s="19" t="n"/>
      <c r="K145" s="21" t="n"/>
      <c r="L145" s="18">
        <f>IF(C145="","",IF(J145="","未入金",IF(K145&gt;=G145,"入金済","一部入金")))</f>
        <v/>
      </c>
    </row>
    <row r="146">
      <c r="A146" s="14">
        <f>IF(C146&lt;&gt;"",ROW()-1,"")</f>
        <v/>
      </c>
      <c r="B146" s="15" t="n"/>
      <c r="C146" s="16" t="n"/>
      <c r="D146" s="16" t="n"/>
      <c r="E146" s="17" t="n"/>
      <c r="F146" s="17">
        <f>IF(E146="","",E146*0.1)</f>
        <v/>
      </c>
      <c r="G146" s="17">
        <f>IF(E146="","",E146+F146)</f>
        <v/>
      </c>
      <c r="H146" s="15" t="n"/>
      <c r="I146" s="15" t="n"/>
      <c r="J146" s="15" t="n"/>
      <c r="K146" s="17" t="n"/>
      <c r="L146" s="14">
        <f>IF(C146="","",IF(J146="","未入金",IF(K146&gt;=G146,"入金済","一部入金")))</f>
        <v/>
      </c>
    </row>
    <row r="147">
      <c r="A147" s="18">
        <f>IF(C147&lt;&gt;"",ROW()-1,"")</f>
        <v/>
      </c>
      <c r="B147" s="19" t="n"/>
      <c r="C147" s="20" t="n"/>
      <c r="D147" s="20" t="n"/>
      <c r="E147" s="21" t="n"/>
      <c r="F147" s="21">
        <f>IF(E147="","",E147*0.1)</f>
        <v/>
      </c>
      <c r="G147" s="21">
        <f>IF(E147="","",E147+F147)</f>
        <v/>
      </c>
      <c r="H147" s="19" t="n"/>
      <c r="I147" s="19" t="n"/>
      <c r="J147" s="19" t="n"/>
      <c r="K147" s="21" t="n"/>
      <c r="L147" s="18">
        <f>IF(C147="","",IF(J147="","未入金",IF(K147&gt;=G147,"入金済","一部入金")))</f>
        <v/>
      </c>
    </row>
    <row r="148">
      <c r="A148" s="14">
        <f>IF(C148&lt;&gt;"",ROW()-1,"")</f>
        <v/>
      </c>
      <c r="B148" s="15" t="n"/>
      <c r="C148" s="16" t="n"/>
      <c r="D148" s="16" t="n"/>
      <c r="E148" s="17" t="n"/>
      <c r="F148" s="17">
        <f>IF(E148="","",E148*0.1)</f>
        <v/>
      </c>
      <c r="G148" s="17">
        <f>IF(E148="","",E148+F148)</f>
        <v/>
      </c>
      <c r="H148" s="15" t="n"/>
      <c r="I148" s="15" t="n"/>
      <c r="J148" s="15" t="n"/>
      <c r="K148" s="17" t="n"/>
      <c r="L148" s="14">
        <f>IF(C148="","",IF(J148="","未入金",IF(K148&gt;=G148,"入金済","一部入金")))</f>
        <v/>
      </c>
    </row>
    <row r="149">
      <c r="A149" s="18">
        <f>IF(C149&lt;&gt;"",ROW()-1,"")</f>
        <v/>
      </c>
      <c r="B149" s="19" t="n"/>
      <c r="C149" s="20" t="n"/>
      <c r="D149" s="20" t="n"/>
      <c r="E149" s="21" t="n"/>
      <c r="F149" s="21">
        <f>IF(E149="","",E149*0.1)</f>
        <v/>
      </c>
      <c r="G149" s="21">
        <f>IF(E149="","",E149+F149)</f>
        <v/>
      </c>
      <c r="H149" s="19" t="n"/>
      <c r="I149" s="19" t="n"/>
      <c r="J149" s="19" t="n"/>
      <c r="K149" s="21" t="n"/>
      <c r="L149" s="18">
        <f>IF(C149="","",IF(J149="","未入金",IF(K149&gt;=G149,"入金済","一部入金")))</f>
        <v/>
      </c>
    </row>
    <row r="150">
      <c r="A150" s="14">
        <f>IF(C150&lt;&gt;"",ROW()-1,"")</f>
        <v/>
      </c>
      <c r="B150" s="15" t="n"/>
      <c r="C150" s="16" t="n"/>
      <c r="D150" s="16" t="n"/>
      <c r="E150" s="17" t="n"/>
      <c r="F150" s="17">
        <f>IF(E150="","",E150*0.1)</f>
        <v/>
      </c>
      <c r="G150" s="17">
        <f>IF(E150="","",E150+F150)</f>
        <v/>
      </c>
      <c r="H150" s="15" t="n"/>
      <c r="I150" s="15" t="n"/>
      <c r="J150" s="15" t="n"/>
      <c r="K150" s="17" t="n"/>
      <c r="L150" s="14">
        <f>IF(C150="","",IF(J150="","未入金",IF(K150&gt;=G150,"入金済","一部入金")))</f>
        <v/>
      </c>
    </row>
    <row r="151">
      <c r="A151" s="18">
        <f>IF(C151&lt;&gt;"",ROW()-1,"")</f>
        <v/>
      </c>
      <c r="B151" s="19" t="n"/>
      <c r="C151" s="20" t="n"/>
      <c r="D151" s="20" t="n"/>
      <c r="E151" s="21" t="n"/>
      <c r="F151" s="21">
        <f>IF(E151="","",E151*0.1)</f>
        <v/>
      </c>
      <c r="G151" s="21">
        <f>IF(E151="","",E151+F151)</f>
        <v/>
      </c>
      <c r="H151" s="19" t="n"/>
      <c r="I151" s="19" t="n"/>
      <c r="J151" s="19" t="n"/>
      <c r="K151" s="21" t="n"/>
      <c r="L151" s="18">
        <f>IF(C151="","",IF(J151="","未入金",IF(K151&gt;=G151,"入金済","一部入金")))</f>
        <v/>
      </c>
    </row>
    <row r="152">
      <c r="A152" s="14">
        <f>IF(C152&lt;&gt;"",ROW()-1,"")</f>
        <v/>
      </c>
      <c r="B152" s="15" t="n"/>
      <c r="C152" s="16" t="n"/>
      <c r="D152" s="16" t="n"/>
      <c r="E152" s="17" t="n"/>
      <c r="F152" s="17">
        <f>IF(E152="","",E152*0.1)</f>
        <v/>
      </c>
      <c r="G152" s="17">
        <f>IF(E152="","",E152+F152)</f>
        <v/>
      </c>
      <c r="H152" s="15" t="n"/>
      <c r="I152" s="15" t="n"/>
      <c r="J152" s="15" t="n"/>
      <c r="K152" s="17" t="n"/>
      <c r="L152" s="14">
        <f>IF(C152="","",IF(J152="","未入金",IF(K152&gt;=G152,"入金済","一部入金")))</f>
        <v/>
      </c>
    </row>
    <row r="153">
      <c r="A153" s="18">
        <f>IF(C153&lt;&gt;"",ROW()-1,"")</f>
        <v/>
      </c>
      <c r="B153" s="19" t="n"/>
      <c r="C153" s="20" t="n"/>
      <c r="D153" s="20" t="n"/>
      <c r="E153" s="21" t="n"/>
      <c r="F153" s="21">
        <f>IF(E153="","",E153*0.1)</f>
        <v/>
      </c>
      <c r="G153" s="21">
        <f>IF(E153="","",E153+F153)</f>
        <v/>
      </c>
      <c r="H153" s="19" t="n"/>
      <c r="I153" s="19" t="n"/>
      <c r="J153" s="19" t="n"/>
      <c r="K153" s="21" t="n"/>
      <c r="L153" s="18">
        <f>IF(C153="","",IF(J153="","未入金",IF(K153&gt;=G153,"入金済","一部入金")))</f>
        <v/>
      </c>
    </row>
    <row r="154">
      <c r="A154" s="14">
        <f>IF(C154&lt;&gt;"",ROW()-1,"")</f>
        <v/>
      </c>
      <c r="B154" s="15" t="n"/>
      <c r="C154" s="16" t="n"/>
      <c r="D154" s="16" t="n"/>
      <c r="E154" s="17" t="n"/>
      <c r="F154" s="17">
        <f>IF(E154="","",E154*0.1)</f>
        <v/>
      </c>
      <c r="G154" s="17">
        <f>IF(E154="","",E154+F154)</f>
        <v/>
      </c>
      <c r="H154" s="15" t="n"/>
      <c r="I154" s="15" t="n"/>
      <c r="J154" s="15" t="n"/>
      <c r="K154" s="17" t="n"/>
      <c r="L154" s="14">
        <f>IF(C154="","",IF(J154="","未入金",IF(K154&gt;=G154,"入金済","一部入金")))</f>
        <v/>
      </c>
    </row>
    <row r="155">
      <c r="A155" s="18">
        <f>IF(C155&lt;&gt;"",ROW()-1,"")</f>
        <v/>
      </c>
      <c r="B155" s="19" t="n"/>
      <c r="C155" s="20" t="n"/>
      <c r="D155" s="20" t="n"/>
      <c r="E155" s="21" t="n"/>
      <c r="F155" s="21">
        <f>IF(E155="","",E155*0.1)</f>
        <v/>
      </c>
      <c r="G155" s="21">
        <f>IF(E155="","",E155+F155)</f>
        <v/>
      </c>
      <c r="H155" s="19" t="n"/>
      <c r="I155" s="19" t="n"/>
      <c r="J155" s="19" t="n"/>
      <c r="K155" s="21" t="n"/>
      <c r="L155" s="18">
        <f>IF(C155="","",IF(J155="","未入金",IF(K155&gt;=G155,"入金済","一部入金")))</f>
        <v/>
      </c>
    </row>
    <row r="156">
      <c r="A156" s="14">
        <f>IF(C156&lt;&gt;"",ROW()-1,"")</f>
        <v/>
      </c>
      <c r="B156" s="15" t="n"/>
      <c r="C156" s="16" t="n"/>
      <c r="D156" s="16" t="n"/>
      <c r="E156" s="17" t="n"/>
      <c r="F156" s="17">
        <f>IF(E156="","",E156*0.1)</f>
        <v/>
      </c>
      <c r="G156" s="17">
        <f>IF(E156="","",E156+F156)</f>
        <v/>
      </c>
      <c r="H156" s="15" t="n"/>
      <c r="I156" s="15" t="n"/>
      <c r="J156" s="15" t="n"/>
      <c r="K156" s="17" t="n"/>
      <c r="L156" s="14">
        <f>IF(C156="","",IF(J156="","未入金",IF(K156&gt;=G156,"入金済","一部入金")))</f>
        <v/>
      </c>
    </row>
    <row r="157">
      <c r="A157" s="18">
        <f>IF(C157&lt;&gt;"",ROW()-1,"")</f>
        <v/>
      </c>
      <c r="B157" s="19" t="n"/>
      <c r="C157" s="20" t="n"/>
      <c r="D157" s="20" t="n"/>
      <c r="E157" s="21" t="n"/>
      <c r="F157" s="21">
        <f>IF(E157="","",E157*0.1)</f>
        <v/>
      </c>
      <c r="G157" s="21">
        <f>IF(E157="","",E157+F157)</f>
        <v/>
      </c>
      <c r="H157" s="19" t="n"/>
      <c r="I157" s="19" t="n"/>
      <c r="J157" s="19" t="n"/>
      <c r="K157" s="21" t="n"/>
      <c r="L157" s="18">
        <f>IF(C157="","",IF(J157="","未入金",IF(K157&gt;=G157,"入金済","一部入金")))</f>
        <v/>
      </c>
    </row>
    <row r="158">
      <c r="A158" s="14">
        <f>IF(C158&lt;&gt;"",ROW()-1,"")</f>
        <v/>
      </c>
      <c r="B158" s="15" t="n"/>
      <c r="C158" s="16" t="n"/>
      <c r="D158" s="16" t="n"/>
      <c r="E158" s="17" t="n"/>
      <c r="F158" s="17">
        <f>IF(E158="","",E158*0.1)</f>
        <v/>
      </c>
      <c r="G158" s="17">
        <f>IF(E158="","",E158+F158)</f>
        <v/>
      </c>
      <c r="H158" s="15" t="n"/>
      <c r="I158" s="15" t="n"/>
      <c r="J158" s="15" t="n"/>
      <c r="K158" s="17" t="n"/>
      <c r="L158" s="14">
        <f>IF(C158="","",IF(J158="","未入金",IF(K158&gt;=G158,"入金済","一部入金")))</f>
        <v/>
      </c>
    </row>
    <row r="159">
      <c r="A159" s="18">
        <f>IF(C159&lt;&gt;"",ROW()-1,"")</f>
        <v/>
      </c>
      <c r="B159" s="19" t="n"/>
      <c r="C159" s="20" t="n"/>
      <c r="D159" s="20" t="n"/>
      <c r="E159" s="21" t="n"/>
      <c r="F159" s="21">
        <f>IF(E159="","",E159*0.1)</f>
        <v/>
      </c>
      <c r="G159" s="21">
        <f>IF(E159="","",E159+F159)</f>
        <v/>
      </c>
      <c r="H159" s="19" t="n"/>
      <c r="I159" s="19" t="n"/>
      <c r="J159" s="19" t="n"/>
      <c r="K159" s="21" t="n"/>
      <c r="L159" s="18">
        <f>IF(C159="","",IF(J159="","未入金",IF(K159&gt;=G159,"入金済","一部入金")))</f>
        <v/>
      </c>
    </row>
    <row r="160">
      <c r="A160" s="14">
        <f>IF(C160&lt;&gt;"",ROW()-1,"")</f>
        <v/>
      </c>
      <c r="B160" s="15" t="n"/>
      <c r="C160" s="16" t="n"/>
      <c r="D160" s="16" t="n"/>
      <c r="E160" s="17" t="n"/>
      <c r="F160" s="17">
        <f>IF(E160="","",E160*0.1)</f>
        <v/>
      </c>
      <c r="G160" s="17">
        <f>IF(E160="","",E160+F160)</f>
        <v/>
      </c>
      <c r="H160" s="15" t="n"/>
      <c r="I160" s="15" t="n"/>
      <c r="J160" s="15" t="n"/>
      <c r="K160" s="17" t="n"/>
      <c r="L160" s="14">
        <f>IF(C160="","",IF(J160="","未入金",IF(K160&gt;=G160,"入金済","一部入金")))</f>
        <v/>
      </c>
    </row>
    <row r="161">
      <c r="A161" s="18">
        <f>IF(C161&lt;&gt;"",ROW()-1,"")</f>
        <v/>
      </c>
      <c r="B161" s="19" t="n"/>
      <c r="C161" s="20" t="n"/>
      <c r="D161" s="20" t="n"/>
      <c r="E161" s="21" t="n"/>
      <c r="F161" s="21">
        <f>IF(E161="","",E161*0.1)</f>
        <v/>
      </c>
      <c r="G161" s="21">
        <f>IF(E161="","",E161+F161)</f>
        <v/>
      </c>
      <c r="H161" s="19" t="n"/>
      <c r="I161" s="19" t="n"/>
      <c r="J161" s="19" t="n"/>
      <c r="K161" s="21" t="n"/>
      <c r="L161" s="18">
        <f>IF(C161="","",IF(J161="","未入金",IF(K161&gt;=G161,"入金済","一部入金")))</f>
        <v/>
      </c>
    </row>
    <row r="162">
      <c r="A162" s="14">
        <f>IF(C162&lt;&gt;"",ROW()-1,"")</f>
        <v/>
      </c>
      <c r="B162" s="15" t="n"/>
      <c r="C162" s="16" t="n"/>
      <c r="D162" s="16" t="n"/>
      <c r="E162" s="17" t="n"/>
      <c r="F162" s="17">
        <f>IF(E162="","",E162*0.1)</f>
        <v/>
      </c>
      <c r="G162" s="17">
        <f>IF(E162="","",E162+F162)</f>
        <v/>
      </c>
      <c r="H162" s="15" t="n"/>
      <c r="I162" s="15" t="n"/>
      <c r="J162" s="15" t="n"/>
      <c r="K162" s="17" t="n"/>
      <c r="L162" s="14">
        <f>IF(C162="","",IF(J162="","未入金",IF(K162&gt;=G162,"入金済","一部入金")))</f>
        <v/>
      </c>
    </row>
    <row r="163">
      <c r="A163" s="18">
        <f>IF(C163&lt;&gt;"",ROW()-1,"")</f>
        <v/>
      </c>
      <c r="B163" s="19" t="n"/>
      <c r="C163" s="20" t="n"/>
      <c r="D163" s="20" t="n"/>
      <c r="E163" s="21" t="n"/>
      <c r="F163" s="21">
        <f>IF(E163="","",E163*0.1)</f>
        <v/>
      </c>
      <c r="G163" s="21">
        <f>IF(E163="","",E163+F163)</f>
        <v/>
      </c>
      <c r="H163" s="19" t="n"/>
      <c r="I163" s="19" t="n"/>
      <c r="J163" s="19" t="n"/>
      <c r="K163" s="21" t="n"/>
      <c r="L163" s="18">
        <f>IF(C163="","",IF(J163="","未入金",IF(K163&gt;=G163,"入金済","一部入金")))</f>
        <v/>
      </c>
    </row>
    <row r="164">
      <c r="A164" s="14">
        <f>IF(C164&lt;&gt;"",ROW()-1,"")</f>
        <v/>
      </c>
      <c r="B164" s="15" t="n"/>
      <c r="C164" s="16" t="n"/>
      <c r="D164" s="16" t="n"/>
      <c r="E164" s="17" t="n"/>
      <c r="F164" s="17">
        <f>IF(E164="","",E164*0.1)</f>
        <v/>
      </c>
      <c r="G164" s="17">
        <f>IF(E164="","",E164+F164)</f>
        <v/>
      </c>
      <c r="H164" s="15" t="n"/>
      <c r="I164" s="15" t="n"/>
      <c r="J164" s="15" t="n"/>
      <c r="K164" s="17" t="n"/>
      <c r="L164" s="14">
        <f>IF(C164="","",IF(J164="","未入金",IF(K164&gt;=G164,"入金済","一部入金")))</f>
        <v/>
      </c>
    </row>
    <row r="165">
      <c r="A165" s="18">
        <f>IF(C165&lt;&gt;"",ROW()-1,"")</f>
        <v/>
      </c>
      <c r="B165" s="19" t="n"/>
      <c r="C165" s="20" t="n"/>
      <c r="D165" s="20" t="n"/>
      <c r="E165" s="21" t="n"/>
      <c r="F165" s="21">
        <f>IF(E165="","",E165*0.1)</f>
        <v/>
      </c>
      <c r="G165" s="21">
        <f>IF(E165="","",E165+F165)</f>
        <v/>
      </c>
      <c r="H165" s="19" t="n"/>
      <c r="I165" s="19" t="n"/>
      <c r="J165" s="19" t="n"/>
      <c r="K165" s="21" t="n"/>
      <c r="L165" s="18">
        <f>IF(C165="","",IF(J165="","未入金",IF(K165&gt;=G165,"入金済","一部入金")))</f>
        <v/>
      </c>
    </row>
    <row r="166">
      <c r="A166" s="14">
        <f>IF(C166&lt;&gt;"",ROW()-1,"")</f>
        <v/>
      </c>
      <c r="B166" s="15" t="n"/>
      <c r="C166" s="16" t="n"/>
      <c r="D166" s="16" t="n"/>
      <c r="E166" s="17" t="n"/>
      <c r="F166" s="17">
        <f>IF(E166="","",E166*0.1)</f>
        <v/>
      </c>
      <c r="G166" s="17">
        <f>IF(E166="","",E166+F166)</f>
        <v/>
      </c>
      <c r="H166" s="15" t="n"/>
      <c r="I166" s="15" t="n"/>
      <c r="J166" s="15" t="n"/>
      <c r="K166" s="17" t="n"/>
      <c r="L166" s="14">
        <f>IF(C166="","",IF(J166="","未入金",IF(K166&gt;=G166,"入金済","一部入金")))</f>
        <v/>
      </c>
    </row>
    <row r="167">
      <c r="A167" s="18">
        <f>IF(C167&lt;&gt;"",ROW()-1,"")</f>
        <v/>
      </c>
      <c r="B167" s="19" t="n"/>
      <c r="C167" s="20" t="n"/>
      <c r="D167" s="20" t="n"/>
      <c r="E167" s="21" t="n"/>
      <c r="F167" s="21">
        <f>IF(E167="","",E167*0.1)</f>
        <v/>
      </c>
      <c r="G167" s="21">
        <f>IF(E167="","",E167+F167)</f>
        <v/>
      </c>
      <c r="H167" s="19" t="n"/>
      <c r="I167" s="19" t="n"/>
      <c r="J167" s="19" t="n"/>
      <c r="K167" s="21" t="n"/>
      <c r="L167" s="18">
        <f>IF(C167="","",IF(J167="","未入金",IF(K167&gt;=G167,"入金済","一部入金")))</f>
        <v/>
      </c>
    </row>
    <row r="168">
      <c r="A168" s="14">
        <f>IF(C168&lt;&gt;"",ROW()-1,"")</f>
        <v/>
      </c>
      <c r="B168" s="15" t="n"/>
      <c r="C168" s="16" t="n"/>
      <c r="D168" s="16" t="n"/>
      <c r="E168" s="17" t="n"/>
      <c r="F168" s="17">
        <f>IF(E168="","",E168*0.1)</f>
        <v/>
      </c>
      <c r="G168" s="17">
        <f>IF(E168="","",E168+F168)</f>
        <v/>
      </c>
      <c r="H168" s="15" t="n"/>
      <c r="I168" s="15" t="n"/>
      <c r="J168" s="15" t="n"/>
      <c r="K168" s="17" t="n"/>
      <c r="L168" s="14">
        <f>IF(C168="","",IF(J168="","未入金",IF(K168&gt;=G168,"入金済","一部入金")))</f>
        <v/>
      </c>
    </row>
    <row r="169">
      <c r="A169" s="18">
        <f>IF(C169&lt;&gt;"",ROW()-1,"")</f>
        <v/>
      </c>
      <c r="B169" s="19" t="n"/>
      <c r="C169" s="20" t="n"/>
      <c r="D169" s="20" t="n"/>
      <c r="E169" s="21" t="n"/>
      <c r="F169" s="21">
        <f>IF(E169="","",E169*0.1)</f>
        <v/>
      </c>
      <c r="G169" s="21">
        <f>IF(E169="","",E169+F169)</f>
        <v/>
      </c>
      <c r="H169" s="19" t="n"/>
      <c r="I169" s="19" t="n"/>
      <c r="J169" s="19" t="n"/>
      <c r="K169" s="21" t="n"/>
      <c r="L169" s="18">
        <f>IF(C169="","",IF(J169="","未入金",IF(K169&gt;=G169,"入金済","一部入金")))</f>
        <v/>
      </c>
    </row>
    <row r="170">
      <c r="A170" s="14">
        <f>IF(C170&lt;&gt;"",ROW()-1,"")</f>
        <v/>
      </c>
      <c r="B170" s="15" t="n"/>
      <c r="C170" s="16" t="n"/>
      <c r="D170" s="16" t="n"/>
      <c r="E170" s="17" t="n"/>
      <c r="F170" s="17">
        <f>IF(E170="","",E170*0.1)</f>
        <v/>
      </c>
      <c r="G170" s="17">
        <f>IF(E170="","",E170+F170)</f>
        <v/>
      </c>
      <c r="H170" s="15" t="n"/>
      <c r="I170" s="15" t="n"/>
      <c r="J170" s="15" t="n"/>
      <c r="K170" s="17" t="n"/>
      <c r="L170" s="14">
        <f>IF(C170="","",IF(J170="","未入金",IF(K170&gt;=G170,"入金済","一部入金")))</f>
        <v/>
      </c>
    </row>
    <row r="171">
      <c r="A171" s="18">
        <f>IF(C171&lt;&gt;"",ROW()-1,"")</f>
        <v/>
      </c>
      <c r="B171" s="19" t="n"/>
      <c r="C171" s="20" t="n"/>
      <c r="D171" s="20" t="n"/>
      <c r="E171" s="21" t="n"/>
      <c r="F171" s="21">
        <f>IF(E171="","",E171*0.1)</f>
        <v/>
      </c>
      <c r="G171" s="21">
        <f>IF(E171="","",E171+F171)</f>
        <v/>
      </c>
      <c r="H171" s="19" t="n"/>
      <c r="I171" s="19" t="n"/>
      <c r="J171" s="19" t="n"/>
      <c r="K171" s="21" t="n"/>
      <c r="L171" s="18">
        <f>IF(C171="","",IF(J171="","未入金",IF(K171&gt;=G171,"入金済","一部入金")))</f>
        <v/>
      </c>
    </row>
    <row r="172">
      <c r="A172" s="14">
        <f>IF(C172&lt;&gt;"",ROW()-1,"")</f>
        <v/>
      </c>
      <c r="B172" s="15" t="n"/>
      <c r="C172" s="16" t="n"/>
      <c r="D172" s="16" t="n"/>
      <c r="E172" s="17" t="n"/>
      <c r="F172" s="17">
        <f>IF(E172="","",E172*0.1)</f>
        <v/>
      </c>
      <c r="G172" s="17">
        <f>IF(E172="","",E172+F172)</f>
        <v/>
      </c>
      <c r="H172" s="15" t="n"/>
      <c r="I172" s="15" t="n"/>
      <c r="J172" s="15" t="n"/>
      <c r="K172" s="17" t="n"/>
      <c r="L172" s="14">
        <f>IF(C172="","",IF(J172="","未入金",IF(K172&gt;=G172,"入金済","一部入金")))</f>
        <v/>
      </c>
    </row>
    <row r="173">
      <c r="A173" s="18">
        <f>IF(C173&lt;&gt;"",ROW()-1,"")</f>
        <v/>
      </c>
      <c r="B173" s="19" t="n"/>
      <c r="C173" s="20" t="n"/>
      <c r="D173" s="20" t="n"/>
      <c r="E173" s="21" t="n"/>
      <c r="F173" s="21">
        <f>IF(E173="","",E173*0.1)</f>
        <v/>
      </c>
      <c r="G173" s="21">
        <f>IF(E173="","",E173+F173)</f>
        <v/>
      </c>
      <c r="H173" s="19" t="n"/>
      <c r="I173" s="19" t="n"/>
      <c r="J173" s="19" t="n"/>
      <c r="K173" s="21" t="n"/>
      <c r="L173" s="18">
        <f>IF(C173="","",IF(J173="","未入金",IF(K173&gt;=G173,"入金済","一部入金")))</f>
        <v/>
      </c>
    </row>
    <row r="174">
      <c r="A174" s="14">
        <f>IF(C174&lt;&gt;"",ROW()-1,"")</f>
        <v/>
      </c>
      <c r="B174" s="15" t="n"/>
      <c r="C174" s="16" t="n"/>
      <c r="D174" s="16" t="n"/>
      <c r="E174" s="17" t="n"/>
      <c r="F174" s="17">
        <f>IF(E174="","",E174*0.1)</f>
        <v/>
      </c>
      <c r="G174" s="17">
        <f>IF(E174="","",E174+F174)</f>
        <v/>
      </c>
      <c r="H174" s="15" t="n"/>
      <c r="I174" s="15" t="n"/>
      <c r="J174" s="15" t="n"/>
      <c r="K174" s="17" t="n"/>
      <c r="L174" s="14">
        <f>IF(C174="","",IF(J174="","未入金",IF(K174&gt;=G174,"入金済","一部入金")))</f>
        <v/>
      </c>
    </row>
    <row r="175">
      <c r="A175" s="18">
        <f>IF(C175&lt;&gt;"",ROW()-1,"")</f>
        <v/>
      </c>
      <c r="B175" s="19" t="n"/>
      <c r="C175" s="20" t="n"/>
      <c r="D175" s="20" t="n"/>
      <c r="E175" s="21" t="n"/>
      <c r="F175" s="21">
        <f>IF(E175="","",E175*0.1)</f>
        <v/>
      </c>
      <c r="G175" s="21">
        <f>IF(E175="","",E175+F175)</f>
        <v/>
      </c>
      <c r="H175" s="19" t="n"/>
      <c r="I175" s="19" t="n"/>
      <c r="J175" s="19" t="n"/>
      <c r="K175" s="21" t="n"/>
      <c r="L175" s="18">
        <f>IF(C175="","",IF(J175="","未入金",IF(K175&gt;=G175,"入金済","一部入金")))</f>
        <v/>
      </c>
    </row>
    <row r="176">
      <c r="A176" s="14">
        <f>IF(C176&lt;&gt;"",ROW()-1,"")</f>
        <v/>
      </c>
      <c r="B176" s="15" t="n"/>
      <c r="C176" s="16" t="n"/>
      <c r="D176" s="16" t="n"/>
      <c r="E176" s="17" t="n"/>
      <c r="F176" s="17">
        <f>IF(E176="","",E176*0.1)</f>
        <v/>
      </c>
      <c r="G176" s="17">
        <f>IF(E176="","",E176+F176)</f>
        <v/>
      </c>
      <c r="H176" s="15" t="n"/>
      <c r="I176" s="15" t="n"/>
      <c r="J176" s="15" t="n"/>
      <c r="K176" s="17" t="n"/>
      <c r="L176" s="14">
        <f>IF(C176="","",IF(J176="","未入金",IF(K176&gt;=G176,"入金済","一部入金")))</f>
        <v/>
      </c>
    </row>
    <row r="177">
      <c r="A177" s="18">
        <f>IF(C177&lt;&gt;"",ROW()-1,"")</f>
        <v/>
      </c>
      <c r="B177" s="19" t="n"/>
      <c r="C177" s="20" t="n"/>
      <c r="D177" s="20" t="n"/>
      <c r="E177" s="21" t="n"/>
      <c r="F177" s="21">
        <f>IF(E177="","",E177*0.1)</f>
        <v/>
      </c>
      <c r="G177" s="21">
        <f>IF(E177="","",E177+F177)</f>
        <v/>
      </c>
      <c r="H177" s="19" t="n"/>
      <c r="I177" s="19" t="n"/>
      <c r="J177" s="19" t="n"/>
      <c r="K177" s="21" t="n"/>
      <c r="L177" s="18">
        <f>IF(C177="","",IF(J177="","未入金",IF(K177&gt;=G177,"入金済","一部入金")))</f>
        <v/>
      </c>
    </row>
    <row r="178">
      <c r="A178" s="14">
        <f>IF(C178&lt;&gt;"",ROW()-1,"")</f>
        <v/>
      </c>
      <c r="B178" s="15" t="n"/>
      <c r="C178" s="16" t="n"/>
      <c r="D178" s="16" t="n"/>
      <c r="E178" s="17" t="n"/>
      <c r="F178" s="17">
        <f>IF(E178="","",E178*0.1)</f>
        <v/>
      </c>
      <c r="G178" s="17">
        <f>IF(E178="","",E178+F178)</f>
        <v/>
      </c>
      <c r="H178" s="15" t="n"/>
      <c r="I178" s="15" t="n"/>
      <c r="J178" s="15" t="n"/>
      <c r="K178" s="17" t="n"/>
      <c r="L178" s="14">
        <f>IF(C178="","",IF(J178="","未入金",IF(K178&gt;=G178,"入金済","一部入金")))</f>
        <v/>
      </c>
    </row>
    <row r="179">
      <c r="A179" s="18">
        <f>IF(C179&lt;&gt;"",ROW()-1,"")</f>
        <v/>
      </c>
      <c r="B179" s="19" t="n"/>
      <c r="C179" s="20" t="n"/>
      <c r="D179" s="20" t="n"/>
      <c r="E179" s="21" t="n"/>
      <c r="F179" s="21">
        <f>IF(E179="","",E179*0.1)</f>
        <v/>
      </c>
      <c r="G179" s="21">
        <f>IF(E179="","",E179+F179)</f>
        <v/>
      </c>
      <c r="H179" s="19" t="n"/>
      <c r="I179" s="19" t="n"/>
      <c r="J179" s="19" t="n"/>
      <c r="K179" s="21" t="n"/>
      <c r="L179" s="18">
        <f>IF(C179="","",IF(J179="","未入金",IF(K179&gt;=G179,"入金済","一部入金")))</f>
        <v/>
      </c>
    </row>
    <row r="180">
      <c r="A180" s="14">
        <f>IF(C180&lt;&gt;"",ROW()-1,"")</f>
        <v/>
      </c>
      <c r="B180" s="15" t="n"/>
      <c r="C180" s="16" t="n"/>
      <c r="D180" s="16" t="n"/>
      <c r="E180" s="17" t="n"/>
      <c r="F180" s="17">
        <f>IF(E180="","",E180*0.1)</f>
        <v/>
      </c>
      <c r="G180" s="17">
        <f>IF(E180="","",E180+F180)</f>
        <v/>
      </c>
      <c r="H180" s="15" t="n"/>
      <c r="I180" s="15" t="n"/>
      <c r="J180" s="15" t="n"/>
      <c r="K180" s="17" t="n"/>
      <c r="L180" s="14">
        <f>IF(C180="","",IF(J180="","未入金",IF(K180&gt;=G180,"入金済","一部入金")))</f>
        <v/>
      </c>
    </row>
    <row r="181">
      <c r="A181" s="18">
        <f>IF(C181&lt;&gt;"",ROW()-1,"")</f>
        <v/>
      </c>
      <c r="B181" s="19" t="n"/>
      <c r="C181" s="20" t="n"/>
      <c r="D181" s="20" t="n"/>
      <c r="E181" s="21" t="n"/>
      <c r="F181" s="21">
        <f>IF(E181="","",E181*0.1)</f>
        <v/>
      </c>
      <c r="G181" s="21">
        <f>IF(E181="","",E181+F181)</f>
        <v/>
      </c>
      <c r="H181" s="19" t="n"/>
      <c r="I181" s="19" t="n"/>
      <c r="J181" s="19" t="n"/>
      <c r="K181" s="21" t="n"/>
      <c r="L181" s="18">
        <f>IF(C181="","",IF(J181="","未入金",IF(K181&gt;=G181,"入金済","一部入金")))</f>
        <v/>
      </c>
    </row>
    <row r="182">
      <c r="A182" s="14">
        <f>IF(C182&lt;&gt;"",ROW()-1,"")</f>
        <v/>
      </c>
      <c r="B182" s="15" t="n"/>
      <c r="C182" s="16" t="n"/>
      <c r="D182" s="16" t="n"/>
      <c r="E182" s="17" t="n"/>
      <c r="F182" s="17">
        <f>IF(E182="","",E182*0.1)</f>
        <v/>
      </c>
      <c r="G182" s="17">
        <f>IF(E182="","",E182+F182)</f>
        <v/>
      </c>
      <c r="H182" s="15" t="n"/>
      <c r="I182" s="15" t="n"/>
      <c r="J182" s="15" t="n"/>
      <c r="K182" s="17" t="n"/>
      <c r="L182" s="14">
        <f>IF(C182="","",IF(J182="","未入金",IF(K182&gt;=G182,"入金済","一部入金")))</f>
        <v/>
      </c>
    </row>
    <row r="183">
      <c r="A183" s="18">
        <f>IF(C183&lt;&gt;"",ROW()-1,"")</f>
        <v/>
      </c>
      <c r="B183" s="19" t="n"/>
      <c r="C183" s="20" t="n"/>
      <c r="D183" s="20" t="n"/>
      <c r="E183" s="21" t="n"/>
      <c r="F183" s="21">
        <f>IF(E183="","",E183*0.1)</f>
        <v/>
      </c>
      <c r="G183" s="21">
        <f>IF(E183="","",E183+F183)</f>
        <v/>
      </c>
      <c r="H183" s="19" t="n"/>
      <c r="I183" s="19" t="n"/>
      <c r="J183" s="19" t="n"/>
      <c r="K183" s="21" t="n"/>
      <c r="L183" s="18">
        <f>IF(C183="","",IF(J183="","未入金",IF(K183&gt;=G183,"入金済","一部入金")))</f>
        <v/>
      </c>
    </row>
    <row r="184">
      <c r="A184" s="14">
        <f>IF(C184&lt;&gt;"",ROW()-1,"")</f>
        <v/>
      </c>
      <c r="B184" s="15" t="n"/>
      <c r="C184" s="16" t="n"/>
      <c r="D184" s="16" t="n"/>
      <c r="E184" s="17" t="n"/>
      <c r="F184" s="17">
        <f>IF(E184="","",E184*0.1)</f>
        <v/>
      </c>
      <c r="G184" s="17">
        <f>IF(E184="","",E184+F184)</f>
        <v/>
      </c>
      <c r="H184" s="15" t="n"/>
      <c r="I184" s="15" t="n"/>
      <c r="J184" s="15" t="n"/>
      <c r="K184" s="17" t="n"/>
      <c r="L184" s="14">
        <f>IF(C184="","",IF(J184="","未入金",IF(K184&gt;=G184,"入金済","一部入金")))</f>
        <v/>
      </c>
    </row>
    <row r="185">
      <c r="A185" s="18">
        <f>IF(C185&lt;&gt;"",ROW()-1,"")</f>
        <v/>
      </c>
      <c r="B185" s="19" t="n"/>
      <c r="C185" s="20" t="n"/>
      <c r="D185" s="20" t="n"/>
      <c r="E185" s="21" t="n"/>
      <c r="F185" s="21">
        <f>IF(E185="","",E185*0.1)</f>
        <v/>
      </c>
      <c r="G185" s="21">
        <f>IF(E185="","",E185+F185)</f>
        <v/>
      </c>
      <c r="H185" s="19" t="n"/>
      <c r="I185" s="19" t="n"/>
      <c r="J185" s="19" t="n"/>
      <c r="K185" s="21" t="n"/>
      <c r="L185" s="18">
        <f>IF(C185="","",IF(J185="","未入金",IF(K185&gt;=G185,"入金済","一部入金")))</f>
        <v/>
      </c>
    </row>
    <row r="186">
      <c r="A186" s="14">
        <f>IF(C186&lt;&gt;"",ROW()-1,"")</f>
        <v/>
      </c>
      <c r="B186" s="15" t="n"/>
      <c r="C186" s="16" t="n"/>
      <c r="D186" s="16" t="n"/>
      <c r="E186" s="17" t="n"/>
      <c r="F186" s="17">
        <f>IF(E186="","",E186*0.1)</f>
        <v/>
      </c>
      <c r="G186" s="17">
        <f>IF(E186="","",E186+F186)</f>
        <v/>
      </c>
      <c r="H186" s="15" t="n"/>
      <c r="I186" s="15" t="n"/>
      <c r="J186" s="15" t="n"/>
      <c r="K186" s="17" t="n"/>
      <c r="L186" s="14">
        <f>IF(C186="","",IF(J186="","未入金",IF(K186&gt;=G186,"入金済","一部入金")))</f>
        <v/>
      </c>
    </row>
    <row r="187">
      <c r="A187" s="18">
        <f>IF(C187&lt;&gt;"",ROW()-1,"")</f>
        <v/>
      </c>
      <c r="B187" s="19" t="n"/>
      <c r="C187" s="20" t="n"/>
      <c r="D187" s="20" t="n"/>
      <c r="E187" s="21" t="n"/>
      <c r="F187" s="21">
        <f>IF(E187="","",E187*0.1)</f>
        <v/>
      </c>
      <c r="G187" s="21">
        <f>IF(E187="","",E187+F187)</f>
        <v/>
      </c>
      <c r="H187" s="19" t="n"/>
      <c r="I187" s="19" t="n"/>
      <c r="J187" s="19" t="n"/>
      <c r="K187" s="21" t="n"/>
      <c r="L187" s="18">
        <f>IF(C187="","",IF(J187="","未入金",IF(K187&gt;=G187,"入金済","一部入金")))</f>
        <v/>
      </c>
    </row>
    <row r="188">
      <c r="A188" s="14">
        <f>IF(C188&lt;&gt;"",ROW()-1,"")</f>
        <v/>
      </c>
      <c r="B188" s="15" t="n"/>
      <c r="C188" s="16" t="n"/>
      <c r="D188" s="16" t="n"/>
      <c r="E188" s="17" t="n"/>
      <c r="F188" s="17">
        <f>IF(E188="","",E188*0.1)</f>
        <v/>
      </c>
      <c r="G188" s="17">
        <f>IF(E188="","",E188+F188)</f>
        <v/>
      </c>
      <c r="H188" s="15" t="n"/>
      <c r="I188" s="15" t="n"/>
      <c r="J188" s="15" t="n"/>
      <c r="K188" s="17" t="n"/>
      <c r="L188" s="14">
        <f>IF(C188="","",IF(J188="","未入金",IF(K188&gt;=G188,"入金済","一部入金")))</f>
        <v/>
      </c>
    </row>
    <row r="189">
      <c r="A189" s="18">
        <f>IF(C189&lt;&gt;"",ROW()-1,"")</f>
        <v/>
      </c>
      <c r="B189" s="19" t="n"/>
      <c r="C189" s="20" t="n"/>
      <c r="D189" s="20" t="n"/>
      <c r="E189" s="21" t="n"/>
      <c r="F189" s="21">
        <f>IF(E189="","",E189*0.1)</f>
        <v/>
      </c>
      <c r="G189" s="21">
        <f>IF(E189="","",E189+F189)</f>
        <v/>
      </c>
      <c r="H189" s="19" t="n"/>
      <c r="I189" s="19" t="n"/>
      <c r="J189" s="19" t="n"/>
      <c r="K189" s="21" t="n"/>
      <c r="L189" s="18">
        <f>IF(C189="","",IF(J189="","未入金",IF(K189&gt;=G189,"入金済","一部入金")))</f>
        <v/>
      </c>
    </row>
    <row r="190">
      <c r="A190" s="14">
        <f>IF(C190&lt;&gt;"",ROW()-1,"")</f>
        <v/>
      </c>
      <c r="B190" s="15" t="n"/>
      <c r="C190" s="16" t="n"/>
      <c r="D190" s="16" t="n"/>
      <c r="E190" s="17" t="n"/>
      <c r="F190" s="17">
        <f>IF(E190="","",E190*0.1)</f>
        <v/>
      </c>
      <c r="G190" s="17">
        <f>IF(E190="","",E190+F190)</f>
        <v/>
      </c>
      <c r="H190" s="15" t="n"/>
      <c r="I190" s="15" t="n"/>
      <c r="J190" s="15" t="n"/>
      <c r="K190" s="17" t="n"/>
      <c r="L190" s="14">
        <f>IF(C190="","",IF(J190="","未入金",IF(K190&gt;=G190,"入金済","一部入金")))</f>
        <v/>
      </c>
    </row>
    <row r="191">
      <c r="A191" s="18">
        <f>IF(C191&lt;&gt;"",ROW()-1,"")</f>
        <v/>
      </c>
      <c r="B191" s="19" t="n"/>
      <c r="C191" s="20" t="n"/>
      <c r="D191" s="20" t="n"/>
      <c r="E191" s="21" t="n"/>
      <c r="F191" s="21">
        <f>IF(E191="","",E191*0.1)</f>
        <v/>
      </c>
      <c r="G191" s="21">
        <f>IF(E191="","",E191+F191)</f>
        <v/>
      </c>
      <c r="H191" s="19" t="n"/>
      <c r="I191" s="19" t="n"/>
      <c r="J191" s="19" t="n"/>
      <c r="K191" s="21" t="n"/>
      <c r="L191" s="18">
        <f>IF(C191="","",IF(J191="","未入金",IF(K191&gt;=G191,"入金済","一部入金")))</f>
        <v/>
      </c>
    </row>
    <row r="192">
      <c r="A192" s="14">
        <f>IF(C192&lt;&gt;"",ROW()-1,"")</f>
        <v/>
      </c>
      <c r="B192" s="15" t="n"/>
      <c r="C192" s="16" t="n"/>
      <c r="D192" s="16" t="n"/>
      <c r="E192" s="17" t="n"/>
      <c r="F192" s="17">
        <f>IF(E192="","",E192*0.1)</f>
        <v/>
      </c>
      <c r="G192" s="17">
        <f>IF(E192="","",E192+F192)</f>
        <v/>
      </c>
      <c r="H192" s="15" t="n"/>
      <c r="I192" s="15" t="n"/>
      <c r="J192" s="15" t="n"/>
      <c r="K192" s="17" t="n"/>
      <c r="L192" s="14">
        <f>IF(C192="","",IF(J192="","未入金",IF(K192&gt;=G192,"入金済","一部入金")))</f>
        <v/>
      </c>
    </row>
    <row r="193">
      <c r="A193" s="18">
        <f>IF(C193&lt;&gt;"",ROW()-1,"")</f>
        <v/>
      </c>
      <c r="B193" s="19" t="n"/>
      <c r="C193" s="20" t="n"/>
      <c r="D193" s="20" t="n"/>
      <c r="E193" s="21" t="n"/>
      <c r="F193" s="21">
        <f>IF(E193="","",E193*0.1)</f>
        <v/>
      </c>
      <c r="G193" s="21">
        <f>IF(E193="","",E193+F193)</f>
        <v/>
      </c>
      <c r="H193" s="19" t="n"/>
      <c r="I193" s="19" t="n"/>
      <c r="J193" s="19" t="n"/>
      <c r="K193" s="21" t="n"/>
      <c r="L193" s="18">
        <f>IF(C193="","",IF(J193="","未入金",IF(K193&gt;=G193,"入金済","一部入金")))</f>
        <v/>
      </c>
    </row>
    <row r="194">
      <c r="A194" s="14">
        <f>IF(C194&lt;&gt;"",ROW()-1,"")</f>
        <v/>
      </c>
      <c r="B194" s="15" t="n"/>
      <c r="C194" s="16" t="n"/>
      <c r="D194" s="16" t="n"/>
      <c r="E194" s="17" t="n"/>
      <c r="F194" s="17">
        <f>IF(E194="","",E194*0.1)</f>
        <v/>
      </c>
      <c r="G194" s="17">
        <f>IF(E194="","",E194+F194)</f>
        <v/>
      </c>
      <c r="H194" s="15" t="n"/>
      <c r="I194" s="15" t="n"/>
      <c r="J194" s="15" t="n"/>
      <c r="K194" s="17" t="n"/>
      <c r="L194" s="14">
        <f>IF(C194="","",IF(J194="","未入金",IF(K194&gt;=G194,"入金済","一部入金")))</f>
        <v/>
      </c>
    </row>
    <row r="195">
      <c r="A195" s="18">
        <f>IF(C195&lt;&gt;"",ROW()-1,"")</f>
        <v/>
      </c>
      <c r="B195" s="19" t="n"/>
      <c r="C195" s="20" t="n"/>
      <c r="D195" s="20" t="n"/>
      <c r="E195" s="21" t="n"/>
      <c r="F195" s="21">
        <f>IF(E195="","",E195*0.1)</f>
        <v/>
      </c>
      <c r="G195" s="21">
        <f>IF(E195="","",E195+F195)</f>
        <v/>
      </c>
      <c r="H195" s="19" t="n"/>
      <c r="I195" s="19" t="n"/>
      <c r="J195" s="19" t="n"/>
      <c r="K195" s="21" t="n"/>
      <c r="L195" s="18">
        <f>IF(C195="","",IF(J195="","未入金",IF(K195&gt;=G195,"入金済","一部入金")))</f>
        <v/>
      </c>
    </row>
    <row r="196">
      <c r="A196" s="14">
        <f>IF(C196&lt;&gt;"",ROW()-1,"")</f>
        <v/>
      </c>
      <c r="B196" s="15" t="n"/>
      <c r="C196" s="16" t="n"/>
      <c r="D196" s="16" t="n"/>
      <c r="E196" s="17" t="n"/>
      <c r="F196" s="17">
        <f>IF(E196="","",E196*0.1)</f>
        <v/>
      </c>
      <c r="G196" s="17">
        <f>IF(E196="","",E196+F196)</f>
        <v/>
      </c>
      <c r="H196" s="15" t="n"/>
      <c r="I196" s="15" t="n"/>
      <c r="J196" s="15" t="n"/>
      <c r="K196" s="17" t="n"/>
      <c r="L196" s="14">
        <f>IF(C196="","",IF(J196="","未入金",IF(K196&gt;=G196,"入金済","一部入金")))</f>
        <v/>
      </c>
    </row>
    <row r="197">
      <c r="A197" s="18">
        <f>IF(C197&lt;&gt;"",ROW()-1,"")</f>
        <v/>
      </c>
      <c r="B197" s="19" t="n"/>
      <c r="C197" s="20" t="n"/>
      <c r="D197" s="20" t="n"/>
      <c r="E197" s="21" t="n"/>
      <c r="F197" s="21">
        <f>IF(E197="","",E197*0.1)</f>
        <v/>
      </c>
      <c r="G197" s="21">
        <f>IF(E197="","",E197+F197)</f>
        <v/>
      </c>
      <c r="H197" s="19" t="n"/>
      <c r="I197" s="19" t="n"/>
      <c r="J197" s="19" t="n"/>
      <c r="K197" s="21" t="n"/>
      <c r="L197" s="18">
        <f>IF(C197="","",IF(J197="","未入金",IF(K197&gt;=G197,"入金済","一部入金")))</f>
        <v/>
      </c>
    </row>
    <row r="198">
      <c r="A198" s="14">
        <f>IF(C198&lt;&gt;"",ROW()-1,"")</f>
        <v/>
      </c>
      <c r="B198" s="15" t="n"/>
      <c r="C198" s="16" t="n"/>
      <c r="D198" s="16" t="n"/>
      <c r="E198" s="17" t="n"/>
      <c r="F198" s="17">
        <f>IF(E198="","",E198*0.1)</f>
        <v/>
      </c>
      <c r="G198" s="17">
        <f>IF(E198="","",E198+F198)</f>
        <v/>
      </c>
      <c r="H198" s="15" t="n"/>
      <c r="I198" s="15" t="n"/>
      <c r="J198" s="15" t="n"/>
      <c r="K198" s="17" t="n"/>
      <c r="L198" s="14">
        <f>IF(C198="","",IF(J198="","未入金",IF(K198&gt;=G198,"入金済","一部入金")))</f>
        <v/>
      </c>
    </row>
    <row r="199">
      <c r="A199" s="18">
        <f>IF(C199&lt;&gt;"",ROW()-1,"")</f>
        <v/>
      </c>
      <c r="B199" s="19" t="n"/>
      <c r="C199" s="20" t="n"/>
      <c r="D199" s="20" t="n"/>
      <c r="E199" s="21" t="n"/>
      <c r="F199" s="21">
        <f>IF(E199="","",E199*0.1)</f>
        <v/>
      </c>
      <c r="G199" s="21">
        <f>IF(E199="","",E199+F199)</f>
        <v/>
      </c>
      <c r="H199" s="19" t="n"/>
      <c r="I199" s="19" t="n"/>
      <c r="J199" s="19" t="n"/>
      <c r="K199" s="21" t="n"/>
      <c r="L199" s="18">
        <f>IF(C199="","",IF(J199="","未入金",IF(K199&gt;=G199,"入金済","一部入金")))</f>
        <v/>
      </c>
    </row>
    <row r="200">
      <c r="A200" s="14">
        <f>IF(C200&lt;&gt;"",ROW()-1,"")</f>
        <v/>
      </c>
      <c r="B200" s="15" t="n"/>
      <c r="C200" s="16" t="n"/>
      <c r="D200" s="16" t="n"/>
      <c r="E200" s="17" t="n"/>
      <c r="F200" s="17">
        <f>IF(E200="","",E200*0.1)</f>
        <v/>
      </c>
      <c r="G200" s="17">
        <f>IF(E200="","",E200+F200)</f>
        <v/>
      </c>
      <c r="H200" s="15" t="n"/>
      <c r="I200" s="15" t="n"/>
      <c r="J200" s="15" t="n"/>
      <c r="K200" s="17" t="n"/>
      <c r="L200" s="14">
        <f>IF(C200="","",IF(J200="","未入金",IF(K200&gt;=G200,"入金済","一部入金")))</f>
        <v/>
      </c>
    </row>
    <row r="201">
      <c r="A201" s="18">
        <f>IF(C201&lt;&gt;"",ROW()-1,"")</f>
        <v/>
      </c>
      <c r="B201" s="19" t="n"/>
      <c r="C201" s="20" t="n"/>
      <c r="D201" s="20" t="n"/>
      <c r="E201" s="21" t="n"/>
      <c r="F201" s="21">
        <f>IF(E201="","",E201*0.1)</f>
        <v/>
      </c>
      <c r="G201" s="21">
        <f>IF(E201="","",E201+F201)</f>
        <v/>
      </c>
      <c r="H201" s="19" t="n"/>
      <c r="I201" s="19" t="n"/>
      <c r="J201" s="19" t="n"/>
      <c r="K201" s="21" t="n"/>
      <c r="L201" s="18">
        <f>IF(C201="","",IF(J201="","未入金",IF(K201&gt;=G201,"入金済","一部入金")))</f>
        <v/>
      </c>
    </row>
    <row r="202">
      <c r="D202" s="22" t="inlineStr">
        <is>
          <t>合計</t>
        </is>
      </c>
      <c r="E202" s="23">
        <f>SUM(E2:E201)</f>
        <v/>
      </c>
      <c r="F202" s="23">
        <f>SUM(F2:F201)</f>
        <v/>
      </c>
      <c r="G202" s="23">
        <f>SUM(G2:G201)</f>
        <v/>
      </c>
      <c r="K202" s="23">
        <f>SUM(K2:K201)</f>
        <v/>
      </c>
      <c r="L202" s="25">
        <f>COUNTIF(L2:L201,"未入金")&amp;"件未入金"</f>
        <v/>
      </c>
    </row>
  </sheetData>
  <autoFilter ref="A1:L201"/>
  <conditionalFormatting sqref="L2:L201">
    <cfRule type="expression" priority="1" dxfId="0">
      <formula>L2="未入金"</formula>
    </cfRule>
    <cfRule type="expression" priority="2" dxfId="3">
      <formula>L2="一部入金"</formula>
    </cfRule>
    <cfRule type="expression" priority="3" dxfId="1">
      <formula>L2="入金済"</formula>
    </cfRule>
  </conditionalFormatting>
  <dataValidations count="1">
    <dataValidation sqref="C2:C201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24" customWidth="1" min="6" max="6"/>
  </cols>
  <sheetData>
    <row r="1" ht="30" customHeight="1">
      <c r="A1" s="27" t="inlineStr">
        <is>
          <t>社員名</t>
        </is>
      </c>
      <c r="B1" s="27" t="inlineStr">
        <is>
          <t>支給総額</t>
        </is>
      </c>
      <c r="C1" s="27" t="inlineStr">
        <is>
          <t>控除合計</t>
        </is>
      </c>
      <c r="D1" s="27" t="inlineStr">
        <is>
          <t>手取り</t>
        </is>
      </c>
      <c r="E1" s="27" t="inlineStr">
        <is>
          <t>支払日</t>
        </is>
      </c>
      <c r="F1" s="27" t="inlineStr">
        <is>
          <t>備考</t>
        </is>
      </c>
    </row>
    <row r="2">
      <c r="A2" s="16" t="inlineStr">
        <is>
          <t>野添優</t>
        </is>
      </c>
      <c r="B2" s="17" t="n"/>
      <c r="C2" s="17" t="n"/>
      <c r="D2" s="17">
        <f>IF(B2="","",B2-C2)</f>
        <v/>
      </c>
      <c r="E2" s="15" t="n"/>
      <c r="F2" s="16" t="n"/>
    </row>
    <row r="3">
      <c r="A3" s="20" t="inlineStr">
        <is>
          <t>丸田翔吾</t>
        </is>
      </c>
      <c r="B3" s="21" t="n"/>
      <c r="C3" s="21" t="n"/>
      <c r="D3" s="21">
        <f>IF(B3="","",B3-C3)</f>
        <v/>
      </c>
      <c r="E3" s="19" t="n"/>
      <c r="F3" s="20" t="n"/>
    </row>
    <row r="4">
      <c r="A4" s="16" t="n"/>
      <c r="B4" s="17" t="n"/>
      <c r="C4" s="17" t="n"/>
      <c r="D4" s="17">
        <f>IF(B4="","",B4-C4)</f>
        <v/>
      </c>
      <c r="E4" s="15" t="n"/>
      <c r="F4" s="16" t="n"/>
    </row>
    <row r="5">
      <c r="A5" s="20" t="n"/>
      <c r="B5" s="21" t="n"/>
      <c r="C5" s="21" t="n"/>
      <c r="D5" s="21">
        <f>IF(B5="","",B5-C5)</f>
        <v/>
      </c>
      <c r="E5" s="19" t="n"/>
      <c r="F5" s="20" t="n"/>
    </row>
    <row r="6">
      <c r="A6" s="16" t="n"/>
      <c r="B6" s="17" t="n"/>
      <c r="C6" s="17" t="n"/>
      <c r="D6" s="17">
        <f>IF(B6="","",B6-C6)</f>
        <v/>
      </c>
      <c r="E6" s="15" t="n"/>
      <c r="F6" s="16" t="n"/>
    </row>
    <row r="7">
      <c r="A7" s="20" t="n"/>
      <c r="B7" s="21" t="n"/>
      <c r="C7" s="21" t="n"/>
      <c r="D7" s="21">
        <f>IF(B7="","",B7-C7)</f>
        <v/>
      </c>
      <c r="E7" s="19" t="n"/>
      <c r="F7" s="20" t="n"/>
    </row>
    <row r="8">
      <c r="A8" s="16" t="n"/>
      <c r="B8" s="17" t="n"/>
      <c r="C8" s="17" t="n"/>
      <c r="D8" s="17">
        <f>IF(B8="","",B8-C8)</f>
        <v/>
      </c>
      <c r="E8" s="15" t="n"/>
      <c r="F8" s="16" t="n"/>
    </row>
    <row r="9">
      <c r="A9" s="20" t="n"/>
      <c r="B9" s="21" t="n"/>
      <c r="C9" s="21" t="n"/>
      <c r="D9" s="21">
        <f>IF(B9="","",B9-C9)</f>
        <v/>
      </c>
      <c r="E9" s="19" t="n"/>
      <c r="F9" s="20" t="n"/>
    </row>
    <row r="10">
      <c r="A10" s="16" t="n"/>
      <c r="B10" s="17" t="n"/>
      <c r="C10" s="17" t="n"/>
      <c r="D10" s="17">
        <f>IF(B10="","",B10-C10)</f>
        <v/>
      </c>
      <c r="E10" s="15" t="n"/>
      <c r="F10" s="16" t="n"/>
    </row>
    <row r="11">
      <c r="A11" s="20" t="n"/>
      <c r="B11" s="21" t="n"/>
      <c r="C11" s="21" t="n"/>
      <c r="D11" s="21">
        <f>IF(B11="","",B11-C11)</f>
        <v/>
      </c>
      <c r="E11" s="19" t="n"/>
      <c r="F11" s="20" t="n"/>
    </row>
    <row r="15">
      <c r="A15" s="22" t="inlineStr">
        <is>
          <t>合計</t>
        </is>
      </c>
      <c r="B15" s="23">
        <f>SUM(B2:B14)</f>
        <v/>
      </c>
      <c r="C15" s="23">
        <f>SUM(C2:C14)</f>
        <v/>
      </c>
      <c r="D15" s="23">
        <f>SUM(D2:D14)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業者名</t>
        </is>
      </c>
      <c r="B1" s="22" t="inlineStr">
        <is>
          <t>種別</t>
        </is>
      </c>
      <c r="C1" s="22" t="inlineStr">
        <is>
          <t>インボイス</t>
        </is>
      </c>
      <c r="E1" s="22" t="inlineStr">
        <is>
          <t>得意先名</t>
        </is>
      </c>
      <c r="G1" s="22" t="inlineStr">
        <is>
          <t>経費種類</t>
        </is>
      </c>
    </row>
    <row r="2">
      <c r="A2" t="inlineStr">
        <is>
          <t>梶原通信</t>
        </is>
      </c>
      <c r="B2" t="inlineStr">
        <is>
          <t>個人</t>
        </is>
      </c>
      <c r="C2" t="inlineStr">
        <is>
          <t>あり</t>
        </is>
      </c>
      <c r="E2" t="inlineStr">
        <is>
          <t>港振興業株式会社</t>
        </is>
      </c>
      <c r="G2" t="inlineStr">
        <is>
          <t>材料費</t>
        </is>
      </c>
    </row>
    <row r="3">
      <c r="A3" t="inlineStr">
        <is>
          <t>秀電工</t>
        </is>
      </c>
      <c r="B3" t="inlineStr">
        <is>
          <t>個人</t>
        </is>
      </c>
      <c r="C3" t="inlineStr">
        <is>
          <t>あり</t>
        </is>
      </c>
      <c r="E3" t="inlineStr">
        <is>
          <t>株式会社トラストテクノス</t>
        </is>
      </c>
      <c r="G3" t="inlineStr">
        <is>
          <t>燃料費</t>
        </is>
      </c>
    </row>
    <row r="4">
      <c r="A4" t="inlineStr">
        <is>
          <t>井本貴史</t>
        </is>
      </c>
      <c r="B4" t="inlineStr">
        <is>
          <t>個人</t>
        </is>
      </c>
      <c r="C4" t="inlineStr">
        <is>
          <t>なし</t>
        </is>
      </c>
      <c r="E4" t="inlineStr">
        <is>
          <t>有限会社平成システム</t>
        </is>
      </c>
      <c r="G4" t="inlineStr">
        <is>
          <t>高速料金</t>
        </is>
      </c>
    </row>
    <row r="5">
      <c r="A5" t="inlineStr">
        <is>
          <t>LLS電気</t>
        </is>
      </c>
      <c r="B5" t="inlineStr">
        <is>
          <t>個人</t>
        </is>
      </c>
      <c r="C5" t="inlineStr">
        <is>
          <t>あり</t>
        </is>
      </c>
      <c r="E5" t="inlineStr">
        <is>
          <t>FGE合同会社</t>
        </is>
      </c>
      <c r="G5" t="inlineStr">
        <is>
          <t>駐車場代</t>
        </is>
      </c>
    </row>
    <row r="6">
      <c r="A6" t="inlineStr">
        <is>
          <t>株式会社トラストテクノス</t>
        </is>
      </c>
      <c r="B6" t="inlineStr">
        <is>
          <t>法人</t>
        </is>
      </c>
      <c r="C6" t="inlineStr">
        <is>
          <t>あり</t>
        </is>
      </c>
      <c r="E6" t="inlineStr">
        <is>
          <t>mtr株式会社</t>
        </is>
      </c>
      <c r="G6" t="inlineStr">
        <is>
          <t>工具・消耗品費</t>
        </is>
      </c>
    </row>
    <row r="7">
      <c r="A7" t="inlineStr">
        <is>
          <t>株式会社RISE</t>
        </is>
      </c>
      <c r="B7" t="inlineStr">
        <is>
          <t>法人</t>
        </is>
      </c>
      <c r="C7" t="inlineStr">
        <is>
          <t>あり</t>
        </is>
      </c>
      <c r="E7" t="inlineStr">
        <is>
          <t>株式会社オークコミュニケーション</t>
        </is>
      </c>
      <c r="G7" t="inlineStr">
        <is>
          <t>通信費</t>
        </is>
      </c>
    </row>
    <row r="8">
      <c r="E8" t="inlineStr">
        <is>
          <t>株式会社ライズ</t>
        </is>
      </c>
      <c r="G8" t="inlineStr">
        <is>
          <t>交際費</t>
        </is>
      </c>
    </row>
    <row r="9">
      <c r="E9" t="inlineStr">
        <is>
          <t>千里スカイハイツ管理組合</t>
        </is>
      </c>
      <c r="G9" t="inlineStr">
        <is>
          <t>会議費</t>
        </is>
      </c>
    </row>
    <row r="10">
      <c r="E10" t="inlineStr">
        <is>
          <t>菊次</t>
        </is>
      </c>
      <c r="G10" t="inlineStr">
        <is>
          <t>事務用品費</t>
        </is>
      </c>
    </row>
    <row r="11">
      <c r="E11" t="inlineStr">
        <is>
          <t>ページ</t>
        </is>
      </c>
      <c r="G11" t="inlineStr">
        <is>
          <t>広告宣伝費</t>
        </is>
      </c>
    </row>
    <row r="12">
      <c r="G12" t="inlineStr">
        <is>
          <t>研修費</t>
        </is>
      </c>
    </row>
    <row r="13">
      <c r="G13" t="inlineStr">
        <is>
          <t>福利厚生費</t>
        </is>
      </c>
    </row>
    <row r="14">
      <c r="G14" t="inlineStr">
        <is>
          <t>車両維持費</t>
        </is>
      </c>
    </row>
    <row r="15">
      <c r="G15" t="inlineStr">
        <is>
          <t>地代家賃</t>
        </is>
      </c>
    </row>
    <row r="16">
      <c r="G16" t="inlineStr">
        <is>
          <t>保険料</t>
        </is>
      </c>
    </row>
    <row r="17">
      <c r="G17" t="inlineStr">
        <is>
          <t>雑費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2026-04-17T12:49:43Z</dcterms:created>
  <dcterms:modified xsi:type="dcterms:W3CDTF">2026-04-17T12:49:43Z</dcterms:modified>
</cp:coreProperties>
</file>