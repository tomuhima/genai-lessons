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'外注管理'!$A$1:$M$201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20" customWidth="1" min="5" max="5"/>
    <col width="14" customWidth="1" min="6" max="6"/>
    <col width="13" customWidth="1" min="7" max="7"/>
    <col width="14" customWidth="1" min="8" max="8"/>
    <col width="12" customWidth="1" min="9" max="9"/>
    <col width="12" customWidth="1" min="10" max="10"/>
    <col width="12" customWidth="1" min="11" max="11"/>
    <col width="13" customWidth="1" min="12" max="12"/>
    <col width="10" customWidth="1" min="13" max="13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案件名</t>
        </is>
      </c>
      <c r="F1" s="24" t="inlineStr">
        <is>
          <t>請求額(税抜)</t>
        </is>
      </c>
      <c r="G1" s="24" t="inlineStr">
        <is>
          <t>消費税(10%)</t>
        </is>
      </c>
      <c r="H1" s="24" t="inlineStr">
        <is>
          <t>合計(税込)</t>
        </is>
      </c>
      <c r="I1" s="24" t="inlineStr">
        <is>
          <t>請求日</t>
        </is>
      </c>
      <c r="J1" s="24" t="inlineStr">
        <is>
          <t>支払期限</t>
        </is>
      </c>
      <c r="K1" s="24" t="inlineStr">
        <is>
          <t>支払日</t>
        </is>
      </c>
      <c r="L1" s="24" t="inlineStr">
        <is>
          <t>支払額</t>
        </is>
      </c>
      <c r="M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6" t="n"/>
      <c r="F2" s="17" t="n"/>
      <c r="G2" s="17">
        <f>IF(F2="","",F2*0.1)</f>
        <v/>
      </c>
      <c r="H2" s="17">
        <f>IF(F2="","",F2+G2)</f>
        <v/>
      </c>
      <c r="I2" s="15" t="n"/>
      <c r="J2" s="15">
        <f>IF(I2="","",EOMONTH(I2,1))</f>
        <v/>
      </c>
      <c r="K2" s="15" t="n"/>
      <c r="L2" s="17" t="n"/>
      <c r="M2" s="14">
        <f>IF(C2="","",IF(K2&lt;&gt;"","支払済","未払"))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20" t="n"/>
      <c r="F3" s="21" t="n"/>
      <c r="G3" s="21">
        <f>IF(F3="","",F3*0.1)</f>
        <v/>
      </c>
      <c r="H3" s="21">
        <f>IF(F3="","",F3+G3)</f>
        <v/>
      </c>
      <c r="I3" s="19" t="n"/>
      <c r="J3" s="19">
        <f>IF(I3="","",EOMONTH(I3,1))</f>
        <v/>
      </c>
      <c r="K3" s="19" t="n"/>
      <c r="L3" s="21" t="n"/>
      <c r="M3" s="18">
        <f>IF(C3="","",IF(K3&lt;&gt;"","支払済","未払"))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6" t="n"/>
      <c r="F4" s="17" t="n"/>
      <c r="G4" s="17">
        <f>IF(F4="","",F4*0.1)</f>
        <v/>
      </c>
      <c r="H4" s="17">
        <f>IF(F4="","",F4+G4)</f>
        <v/>
      </c>
      <c r="I4" s="15" t="n"/>
      <c r="J4" s="15">
        <f>IF(I4="","",EOMONTH(I4,1))</f>
        <v/>
      </c>
      <c r="K4" s="15" t="n"/>
      <c r="L4" s="17" t="n"/>
      <c r="M4" s="14">
        <f>IF(C4="","",IF(K4&lt;&gt;"","支払済","未払"))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20" t="n"/>
      <c r="F5" s="21" t="n"/>
      <c r="G5" s="21">
        <f>IF(F5="","",F5*0.1)</f>
        <v/>
      </c>
      <c r="H5" s="21">
        <f>IF(F5="","",F5+G5)</f>
        <v/>
      </c>
      <c r="I5" s="19" t="n"/>
      <c r="J5" s="19">
        <f>IF(I5="","",EOMONTH(I5,1))</f>
        <v/>
      </c>
      <c r="K5" s="19" t="n"/>
      <c r="L5" s="21" t="n"/>
      <c r="M5" s="18">
        <f>IF(C5="","",IF(K5&lt;&gt;"","支払済","未払"))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6" t="n"/>
      <c r="F6" s="17" t="n"/>
      <c r="G6" s="17">
        <f>IF(F6="","",F6*0.1)</f>
        <v/>
      </c>
      <c r="H6" s="17">
        <f>IF(F6="","",F6+G6)</f>
        <v/>
      </c>
      <c r="I6" s="15" t="n"/>
      <c r="J6" s="15">
        <f>IF(I6="","",EOMONTH(I6,1))</f>
        <v/>
      </c>
      <c r="K6" s="15" t="n"/>
      <c r="L6" s="17" t="n"/>
      <c r="M6" s="14">
        <f>IF(C6="","",IF(K6&lt;&gt;"","支払済","未払"))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20" t="n"/>
      <c r="F7" s="21" t="n"/>
      <c r="G7" s="21">
        <f>IF(F7="","",F7*0.1)</f>
        <v/>
      </c>
      <c r="H7" s="21">
        <f>IF(F7="","",F7+G7)</f>
        <v/>
      </c>
      <c r="I7" s="19" t="n"/>
      <c r="J7" s="19">
        <f>IF(I7="","",EOMONTH(I7,1))</f>
        <v/>
      </c>
      <c r="K7" s="19" t="n"/>
      <c r="L7" s="21" t="n"/>
      <c r="M7" s="18">
        <f>IF(C7="","",IF(K7&lt;&gt;"","支払済","未払"))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6" t="n"/>
      <c r="F8" s="17" t="n"/>
      <c r="G8" s="17">
        <f>IF(F8="","",F8*0.1)</f>
        <v/>
      </c>
      <c r="H8" s="17">
        <f>IF(F8="","",F8+G8)</f>
        <v/>
      </c>
      <c r="I8" s="15" t="n"/>
      <c r="J8" s="15">
        <f>IF(I8="","",EOMONTH(I8,1))</f>
        <v/>
      </c>
      <c r="K8" s="15" t="n"/>
      <c r="L8" s="17" t="n"/>
      <c r="M8" s="14">
        <f>IF(C8="","",IF(K8&lt;&gt;"","支払済","未払"))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20" t="n"/>
      <c r="F9" s="21" t="n"/>
      <c r="G9" s="21">
        <f>IF(F9="","",F9*0.1)</f>
        <v/>
      </c>
      <c r="H9" s="21">
        <f>IF(F9="","",F9+G9)</f>
        <v/>
      </c>
      <c r="I9" s="19" t="n"/>
      <c r="J9" s="19">
        <f>IF(I9="","",EOMONTH(I9,1))</f>
        <v/>
      </c>
      <c r="K9" s="19" t="n"/>
      <c r="L9" s="21" t="n"/>
      <c r="M9" s="18">
        <f>IF(C9="","",IF(K9&lt;&gt;"","支払済","未払"))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6" t="n"/>
      <c r="F10" s="17" t="n"/>
      <c r="G10" s="17">
        <f>IF(F10="","",F10*0.1)</f>
        <v/>
      </c>
      <c r="H10" s="17">
        <f>IF(F10="","",F10+G10)</f>
        <v/>
      </c>
      <c r="I10" s="15" t="n"/>
      <c r="J10" s="15">
        <f>IF(I10="","",EOMONTH(I10,1))</f>
        <v/>
      </c>
      <c r="K10" s="15" t="n"/>
      <c r="L10" s="17" t="n"/>
      <c r="M10" s="14">
        <f>IF(C10="","",IF(K10&lt;&gt;"","支払済","未払"))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20" t="n"/>
      <c r="F11" s="21" t="n"/>
      <c r="G11" s="21">
        <f>IF(F11="","",F11*0.1)</f>
        <v/>
      </c>
      <c r="H11" s="21">
        <f>IF(F11="","",F11+G11)</f>
        <v/>
      </c>
      <c r="I11" s="19" t="n"/>
      <c r="J11" s="19">
        <f>IF(I11="","",EOMONTH(I11,1))</f>
        <v/>
      </c>
      <c r="K11" s="19" t="n"/>
      <c r="L11" s="21" t="n"/>
      <c r="M11" s="18">
        <f>IF(C11="","",IF(K11&lt;&gt;"","支払済","未払"))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6" t="n"/>
      <c r="F12" s="17" t="n"/>
      <c r="G12" s="17">
        <f>IF(F12="","",F12*0.1)</f>
        <v/>
      </c>
      <c r="H12" s="17">
        <f>IF(F12="","",F12+G12)</f>
        <v/>
      </c>
      <c r="I12" s="15" t="n"/>
      <c r="J12" s="15">
        <f>IF(I12="","",EOMONTH(I12,1))</f>
        <v/>
      </c>
      <c r="K12" s="15" t="n"/>
      <c r="L12" s="17" t="n"/>
      <c r="M12" s="14">
        <f>IF(C12="","",IF(K12&lt;&gt;"","支払済","未払"))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20" t="n"/>
      <c r="F13" s="21" t="n"/>
      <c r="G13" s="21">
        <f>IF(F13="","",F13*0.1)</f>
        <v/>
      </c>
      <c r="H13" s="21">
        <f>IF(F13="","",F13+G13)</f>
        <v/>
      </c>
      <c r="I13" s="19" t="n"/>
      <c r="J13" s="19">
        <f>IF(I13="","",EOMONTH(I13,1))</f>
        <v/>
      </c>
      <c r="K13" s="19" t="n"/>
      <c r="L13" s="21" t="n"/>
      <c r="M13" s="18">
        <f>IF(C13="","",IF(K13&lt;&gt;"","支払済","未払"))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6" t="n"/>
      <c r="F14" s="17" t="n"/>
      <c r="G14" s="17">
        <f>IF(F14="","",F14*0.1)</f>
        <v/>
      </c>
      <c r="H14" s="17">
        <f>IF(F14="","",F14+G14)</f>
        <v/>
      </c>
      <c r="I14" s="15" t="n"/>
      <c r="J14" s="15">
        <f>IF(I14="","",EOMONTH(I14,1))</f>
        <v/>
      </c>
      <c r="K14" s="15" t="n"/>
      <c r="L14" s="17" t="n"/>
      <c r="M14" s="14">
        <f>IF(C14="","",IF(K14&lt;&gt;"","支払済","未払"))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20" t="n"/>
      <c r="F15" s="21" t="n"/>
      <c r="G15" s="21">
        <f>IF(F15="","",F15*0.1)</f>
        <v/>
      </c>
      <c r="H15" s="21">
        <f>IF(F15="","",F15+G15)</f>
        <v/>
      </c>
      <c r="I15" s="19" t="n"/>
      <c r="J15" s="19">
        <f>IF(I15="","",EOMONTH(I15,1))</f>
        <v/>
      </c>
      <c r="K15" s="19" t="n"/>
      <c r="L15" s="21" t="n"/>
      <c r="M15" s="18">
        <f>IF(C15="","",IF(K15&lt;&gt;"","支払済","未払"))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6" t="n"/>
      <c r="F16" s="17" t="n"/>
      <c r="G16" s="17">
        <f>IF(F16="","",F16*0.1)</f>
        <v/>
      </c>
      <c r="H16" s="17">
        <f>IF(F16="","",F16+G16)</f>
        <v/>
      </c>
      <c r="I16" s="15" t="n"/>
      <c r="J16" s="15">
        <f>IF(I16="","",EOMONTH(I16,1))</f>
        <v/>
      </c>
      <c r="K16" s="15" t="n"/>
      <c r="L16" s="17" t="n"/>
      <c r="M16" s="14">
        <f>IF(C16="","",IF(K16&lt;&gt;"","支払済","未払"))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20" t="n"/>
      <c r="F17" s="21" t="n"/>
      <c r="G17" s="21">
        <f>IF(F17="","",F17*0.1)</f>
        <v/>
      </c>
      <c r="H17" s="21">
        <f>IF(F17="","",F17+G17)</f>
        <v/>
      </c>
      <c r="I17" s="19" t="n"/>
      <c r="J17" s="19">
        <f>IF(I17="","",EOMONTH(I17,1))</f>
        <v/>
      </c>
      <c r="K17" s="19" t="n"/>
      <c r="L17" s="21" t="n"/>
      <c r="M17" s="18">
        <f>IF(C17="","",IF(K17&lt;&gt;"","支払済","未払"))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6" t="n"/>
      <c r="F18" s="17" t="n"/>
      <c r="G18" s="17">
        <f>IF(F18="","",F18*0.1)</f>
        <v/>
      </c>
      <c r="H18" s="17">
        <f>IF(F18="","",F18+G18)</f>
        <v/>
      </c>
      <c r="I18" s="15" t="n"/>
      <c r="J18" s="15">
        <f>IF(I18="","",EOMONTH(I18,1))</f>
        <v/>
      </c>
      <c r="K18" s="15" t="n"/>
      <c r="L18" s="17" t="n"/>
      <c r="M18" s="14">
        <f>IF(C18="","",IF(K18&lt;&gt;"","支払済","未払"))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20" t="n"/>
      <c r="F19" s="21" t="n"/>
      <c r="G19" s="21">
        <f>IF(F19="","",F19*0.1)</f>
        <v/>
      </c>
      <c r="H19" s="21">
        <f>IF(F19="","",F19+G19)</f>
        <v/>
      </c>
      <c r="I19" s="19" t="n"/>
      <c r="J19" s="19">
        <f>IF(I19="","",EOMONTH(I19,1))</f>
        <v/>
      </c>
      <c r="K19" s="19" t="n"/>
      <c r="L19" s="21" t="n"/>
      <c r="M19" s="18">
        <f>IF(C19="","",IF(K19&lt;&gt;"","支払済","未払"))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6" t="n"/>
      <c r="F20" s="17" t="n"/>
      <c r="G20" s="17">
        <f>IF(F20="","",F20*0.1)</f>
        <v/>
      </c>
      <c r="H20" s="17">
        <f>IF(F20="","",F20+G20)</f>
        <v/>
      </c>
      <c r="I20" s="15" t="n"/>
      <c r="J20" s="15">
        <f>IF(I20="","",EOMONTH(I20,1))</f>
        <v/>
      </c>
      <c r="K20" s="15" t="n"/>
      <c r="L20" s="17" t="n"/>
      <c r="M20" s="14">
        <f>IF(C20="","",IF(K20&lt;&gt;"","支払済","未払"))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20" t="n"/>
      <c r="F21" s="21" t="n"/>
      <c r="G21" s="21">
        <f>IF(F21="","",F21*0.1)</f>
        <v/>
      </c>
      <c r="H21" s="21">
        <f>IF(F21="","",F21+G21)</f>
        <v/>
      </c>
      <c r="I21" s="19" t="n"/>
      <c r="J21" s="19">
        <f>IF(I21="","",EOMONTH(I21,1))</f>
        <v/>
      </c>
      <c r="K21" s="19" t="n"/>
      <c r="L21" s="21" t="n"/>
      <c r="M21" s="18">
        <f>IF(C21="","",IF(K21&lt;&gt;"","支払済","未払"))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6" t="n"/>
      <c r="F22" s="17" t="n"/>
      <c r="G22" s="17">
        <f>IF(F22="","",F22*0.1)</f>
        <v/>
      </c>
      <c r="H22" s="17">
        <f>IF(F22="","",F22+G22)</f>
        <v/>
      </c>
      <c r="I22" s="15" t="n"/>
      <c r="J22" s="15">
        <f>IF(I22="","",EOMONTH(I22,1))</f>
        <v/>
      </c>
      <c r="K22" s="15" t="n"/>
      <c r="L22" s="17" t="n"/>
      <c r="M22" s="14">
        <f>IF(C22="","",IF(K22&lt;&gt;"","支払済","未払"))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20" t="n"/>
      <c r="F23" s="21" t="n"/>
      <c r="G23" s="21">
        <f>IF(F23="","",F23*0.1)</f>
        <v/>
      </c>
      <c r="H23" s="21">
        <f>IF(F23="","",F23+G23)</f>
        <v/>
      </c>
      <c r="I23" s="19" t="n"/>
      <c r="J23" s="19">
        <f>IF(I23="","",EOMONTH(I23,1))</f>
        <v/>
      </c>
      <c r="K23" s="19" t="n"/>
      <c r="L23" s="21" t="n"/>
      <c r="M23" s="18">
        <f>IF(C23="","",IF(K23&lt;&gt;"","支払済","未払"))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6" t="n"/>
      <c r="F24" s="17" t="n"/>
      <c r="G24" s="17">
        <f>IF(F24="","",F24*0.1)</f>
        <v/>
      </c>
      <c r="H24" s="17">
        <f>IF(F24="","",F24+G24)</f>
        <v/>
      </c>
      <c r="I24" s="15" t="n"/>
      <c r="J24" s="15">
        <f>IF(I24="","",EOMONTH(I24,1))</f>
        <v/>
      </c>
      <c r="K24" s="15" t="n"/>
      <c r="L24" s="17" t="n"/>
      <c r="M24" s="14">
        <f>IF(C24="","",IF(K24&lt;&gt;"","支払済","未払"))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20" t="n"/>
      <c r="F25" s="21" t="n"/>
      <c r="G25" s="21">
        <f>IF(F25="","",F25*0.1)</f>
        <v/>
      </c>
      <c r="H25" s="21">
        <f>IF(F25="","",F25+G25)</f>
        <v/>
      </c>
      <c r="I25" s="19" t="n"/>
      <c r="J25" s="19">
        <f>IF(I25="","",EOMONTH(I25,1))</f>
        <v/>
      </c>
      <c r="K25" s="19" t="n"/>
      <c r="L25" s="21" t="n"/>
      <c r="M25" s="18">
        <f>IF(C25="","",IF(K25&lt;&gt;"","支払済","未払"))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6" t="n"/>
      <c r="F26" s="17" t="n"/>
      <c r="G26" s="17">
        <f>IF(F26="","",F26*0.1)</f>
        <v/>
      </c>
      <c r="H26" s="17">
        <f>IF(F26="","",F26+G26)</f>
        <v/>
      </c>
      <c r="I26" s="15" t="n"/>
      <c r="J26" s="15">
        <f>IF(I26="","",EOMONTH(I26,1))</f>
        <v/>
      </c>
      <c r="K26" s="15" t="n"/>
      <c r="L26" s="17" t="n"/>
      <c r="M26" s="14">
        <f>IF(C26="","",IF(K26&lt;&gt;"","支払済","未払"))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20" t="n"/>
      <c r="F27" s="21" t="n"/>
      <c r="G27" s="21">
        <f>IF(F27="","",F27*0.1)</f>
        <v/>
      </c>
      <c r="H27" s="21">
        <f>IF(F27="","",F27+G27)</f>
        <v/>
      </c>
      <c r="I27" s="19" t="n"/>
      <c r="J27" s="19">
        <f>IF(I27="","",EOMONTH(I27,1))</f>
        <v/>
      </c>
      <c r="K27" s="19" t="n"/>
      <c r="L27" s="21" t="n"/>
      <c r="M27" s="18">
        <f>IF(C27="","",IF(K27&lt;&gt;"","支払済","未払"))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6" t="n"/>
      <c r="F28" s="17" t="n"/>
      <c r="G28" s="17">
        <f>IF(F28="","",F28*0.1)</f>
        <v/>
      </c>
      <c r="H28" s="17">
        <f>IF(F28="","",F28+G28)</f>
        <v/>
      </c>
      <c r="I28" s="15" t="n"/>
      <c r="J28" s="15">
        <f>IF(I28="","",EOMONTH(I28,1))</f>
        <v/>
      </c>
      <c r="K28" s="15" t="n"/>
      <c r="L28" s="17" t="n"/>
      <c r="M28" s="14">
        <f>IF(C28="","",IF(K28&lt;&gt;"","支払済","未払"))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20" t="n"/>
      <c r="F29" s="21" t="n"/>
      <c r="G29" s="21">
        <f>IF(F29="","",F29*0.1)</f>
        <v/>
      </c>
      <c r="H29" s="21">
        <f>IF(F29="","",F29+G29)</f>
        <v/>
      </c>
      <c r="I29" s="19" t="n"/>
      <c r="J29" s="19">
        <f>IF(I29="","",EOMONTH(I29,1))</f>
        <v/>
      </c>
      <c r="K29" s="19" t="n"/>
      <c r="L29" s="21" t="n"/>
      <c r="M29" s="18">
        <f>IF(C29="","",IF(K29&lt;&gt;"","支払済","未払"))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6" t="n"/>
      <c r="F30" s="17" t="n"/>
      <c r="G30" s="17">
        <f>IF(F30="","",F30*0.1)</f>
        <v/>
      </c>
      <c r="H30" s="17">
        <f>IF(F30="","",F30+G30)</f>
        <v/>
      </c>
      <c r="I30" s="15" t="n"/>
      <c r="J30" s="15">
        <f>IF(I30="","",EOMONTH(I30,1))</f>
        <v/>
      </c>
      <c r="K30" s="15" t="n"/>
      <c r="L30" s="17" t="n"/>
      <c r="M30" s="14">
        <f>IF(C30="","",IF(K30&lt;&gt;"","支払済","未払"))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20" t="n"/>
      <c r="F31" s="21" t="n"/>
      <c r="G31" s="21">
        <f>IF(F31="","",F31*0.1)</f>
        <v/>
      </c>
      <c r="H31" s="21">
        <f>IF(F31="","",F31+G31)</f>
        <v/>
      </c>
      <c r="I31" s="19" t="n"/>
      <c r="J31" s="19">
        <f>IF(I31="","",EOMONTH(I31,1))</f>
        <v/>
      </c>
      <c r="K31" s="19" t="n"/>
      <c r="L31" s="21" t="n"/>
      <c r="M31" s="18">
        <f>IF(C31="","",IF(K31&lt;&gt;"","支払済","未払"))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6" t="n"/>
      <c r="F32" s="17" t="n"/>
      <c r="G32" s="17">
        <f>IF(F32="","",F32*0.1)</f>
        <v/>
      </c>
      <c r="H32" s="17">
        <f>IF(F32="","",F32+G32)</f>
        <v/>
      </c>
      <c r="I32" s="15" t="n"/>
      <c r="J32" s="15">
        <f>IF(I32="","",EOMONTH(I32,1))</f>
        <v/>
      </c>
      <c r="K32" s="15" t="n"/>
      <c r="L32" s="17" t="n"/>
      <c r="M32" s="14">
        <f>IF(C32="","",IF(K32&lt;&gt;"","支払済","未払"))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20" t="n"/>
      <c r="F33" s="21" t="n"/>
      <c r="G33" s="21">
        <f>IF(F33="","",F33*0.1)</f>
        <v/>
      </c>
      <c r="H33" s="21">
        <f>IF(F33="","",F33+G33)</f>
        <v/>
      </c>
      <c r="I33" s="19" t="n"/>
      <c r="J33" s="19">
        <f>IF(I33="","",EOMONTH(I33,1))</f>
        <v/>
      </c>
      <c r="K33" s="19" t="n"/>
      <c r="L33" s="21" t="n"/>
      <c r="M33" s="18">
        <f>IF(C33="","",IF(K33&lt;&gt;"","支払済","未払"))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6" t="n"/>
      <c r="F34" s="17" t="n"/>
      <c r="G34" s="17">
        <f>IF(F34="","",F34*0.1)</f>
        <v/>
      </c>
      <c r="H34" s="17">
        <f>IF(F34="","",F34+G34)</f>
        <v/>
      </c>
      <c r="I34" s="15" t="n"/>
      <c r="J34" s="15">
        <f>IF(I34="","",EOMONTH(I34,1))</f>
        <v/>
      </c>
      <c r="K34" s="15" t="n"/>
      <c r="L34" s="17" t="n"/>
      <c r="M34" s="14">
        <f>IF(C34="","",IF(K34&lt;&gt;"","支払済","未払"))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20" t="n"/>
      <c r="F35" s="21" t="n"/>
      <c r="G35" s="21">
        <f>IF(F35="","",F35*0.1)</f>
        <v/>
      </c>
      <c r="H35" s="21">
        <f>IF(F35="","",F35+G35)</f>
        <v/>
      </c>
      <c r="I35" s="19" t="n"/>
      <c r="J35" s="19">
        <f>IF(I35="","",EOMONTH(I35,1))</f>
        <v/>
      </c>
      <c r="K35" s="19" t="n"/>
      <c r="L35" s="21" t="n"/>
      <c r="M35" s="18">
        <f>IF(C35="","",IF(K35&lt;&gt;"","支払済","未払"))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6" t="n"/>
      <c r="F36" s="17" t="n"/>
      <c r="G36" s="17">
        <f>IF(F36="","",F36*0.1)</f>
        <v/>
      </c>
      <c r="H36" s="17">
        <f>IF(F36="","",F36+G36)</f>
        <v/>
      </c>
      <c r="I36" s="15" t="n"/>
      <c r="J36" s="15">
        <f>IF(I36="","",EOMONTH(I36,1))</f>
        <v/>
      </c>
      <c r="K36" s="15" t="n"/>
      <c r="L36" s="17" t="n"/>
      <c r="M36" s="14">
        <f>IF(C36="","",IF(K36&lt;&gt;"","支払済","未払"))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20" t="n"/>
      <c r="F37" s="21" t="n"/>
      <c r="G37" s="21">
        <f>IF(F37="","",F37*0.1)</f>
        <v/>
      </c>
      <c r="H37" s="21">
        <f>IF(F37="","",F37+G37)</f>
        <v/>
      </c>
      <c r="I37" s="19" t="n"/>
      <c r="J37" s="19">
        <f>IF(I37="","",EOMONTH(I37,1))</f>
        <v/>
      </c>
      <c r="K37" s="19" t="n"/>
      <c r="L37" s="21" t="n"/>
      <c r="M37" s="18">
        <f>IF(C37="","",IF(K37&lt;&gt;"","支払済","未払"))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6" t="n"/>
      <c r="F38" s="17" t="n"/>
      <c r="G38" s="17">
        <f>IF(F38="","",F38*0.1)</f>
        <v/>
      </c>
      <c r="H38" s="17">
        <f>IF(F38="","",F38+G38)</f>
        <v/>
      </c>
      <c r="I38" s="15" t="n"/>
      <c r="J38" s="15">
        <f>IF(I38="","",EOMONTH(I38,1))</f>
        <v/>
      </c>
      <c r="K38" s="15" t="n"/>
      <c r="L38" s="17" t="n"/>
      <c r="M38" s="14">
        <f>IF(C38="","",IF(K38&lt;&gt;"","支払済","未払"))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20" t="n"/>
      <c r="F39" s="21" t="n"/>
      <c r="G39" s="21">
        <f>IF(F39="","",F39*0.1)</f>
        <v/>
      </c>
      <c r="H39" s="21">
        <f>IF(F39="","",F39+G39)</f>
        <v/>
      </c>
      <c r="I39" s="19" t="n"/>
      <c r="J39" s="19">
        <f>IF(I39="","",EOMONTH(I39,1))</f>
        <v/>
      </c>
      <c r="K39" s="19" t="n"/>
      <c r="L39" s="21" t="n"/>
      <c r="M39" s="18">
        <f>IF(C39="","",IF(K39&lt;&gt;"","支払済","未払"))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6" t="n"/>
      <c r="F40" s="17" t="n"/>
      <c r="G40" s="17">
        <f>IF(F40="","",F40*0.1)</f>
        <v/>
      </c>
      <c r="H40" s="17">
        <f>IF(F40="","",F40+G40)</f>
        <v/>
      </c>
      <c r="I40" s="15" t="n"/>
      <c r="J40" s="15">
        <f>IF(I40="","",EOMONTH(I40,1))</f>
        <v/>
      </c>
      <c r="K40" s="15" t="n"/>
      <c r="L40" s="17" t="n"/>
      <c r="M40" s="14">
        <f>IF(C40="","",IF(K40&lt;&gt;"","支払済","未払"))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20" t="n"/>
      <c r="F41" s="21" t="n"/>
      <c r="G41" s="21">
        <f>IF(F41="","",F41*0.1)</f>
        <v/>
      </c>
      <c r="H41" s="21">
        <f>IF(F41="","",F41+G41)</f>
        <v/>
      </c>
      <c r="I41" s="19" t="n"/>
      <c r="J41" s="19">
        <f>IF(I41="","",EOMONTH(I41,1))</f>
        <v/>
      </c>
      <c r="K41" s="19" t="n"/>
      <c r="L41" s="21" t="n"/>
      <c r="M41" s="18">
        <f>IF(C41="","",IF(K41&lt;&gt;"","支払済","未払"))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6" t="n"/>
      <c r="F42" s="17" t="n"/>
      <c r="G42" s="17">
        <f>IF(F42="","",F42*0.1)</f>
        <v/>
      </c>
      <c r="H42" s="17">
        <f>IF(F42="","",F42+G42)</f>
        <v/>
      </c>
      <c r="I42" s="15" t="n"/>
      <c r="J42" s="15">
        <f>IF(I42="","",EOMONTH(I42,1))</f>
        <v/>
      </c>
      <c r="K42" s="15" t="n"/>
      <c r="L42" s="17" t="n"/>
      <c r="M42" s="14">
        <f>IF(C42="","",IF(K42&lt;&gt;"","支払済","未払"))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20" t="n"/>
      <c r="F43" s="21" t="n"/>
      <c r="G43" s="21">
        <f>IF(F43="","",F43*0.1)</f>
        <v/>
      </c>
      <c r="H43" s="21">
        <f>IF(F43="","",F43+G43)</f>
        <v/>
      </c>
      <c r="I43" s="19" t="n"/>
      <c r="J43" s="19">
        <f>IF(I43="","",EOMONTH(I43,1))</f>
        <v/>
      </c>
      <c r="K43" s="19" t="n"/>
      <c r="L43" s="21" t="n"/>
      <c r="M43" s="18">
        <f>IF(C43="","",IF(K43&lt;&gt;"","支払済","未払"))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6" t="n"/>
      <c r="F44" s="17" t="n"/>
      <c r="G44" s="17">
        <f>IF(F44="","",F44*0.1)</f>
        <v/>
      </c>
      <c r="H44" s="17">
        <f>IF(F44="","",F44+G44)</f>
        <v/>
      </c>
      <c r="I44" s="15" t="n"/>
      <c r="J44" s="15">
        <f>IF(I44="","",EOMONTH(I44,1))</f>
        <v/>
      </c>
      <c r="K44" s="15" t="n"/>
      <c r="L44" s="17" t="n"/>
      <c r="M44" s="14">
        <f>IF(C44="","",IF(K44&lt;&gt;"","支払済","未払"))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20" t="n"/>
      <c r="F45" s="21" t="n"/>
      <c r="G45" s="21">
        <f>IF(F45="","",F45*0.1)</f>
        <v/>
      </c>
      <c r="H45" s="21">
        <f>IF(F45="","",F45+G45)</f>
        <v/>
      </c>
      <c r="I45" s="19" t="n"/>
      <c r="J45" s="19">
        <f>IF(I45="","",EOMONTH(I45,1))</f>
        <v/>
      </c>
      <c r="K45" s="19" t="n"/>
      <c r="L45" s="21" t="n"/>
      <c r="M45" s="18">
        <f>IF(C45="","",IF(K45&lt;&gt;"","支払済","未払"))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6" t="n"/>
      <c r="F46" s="17" t="n"/>
      <c r="G46" s="17">
        <f>IF(F46="","",F46*0.1)</f>
        <v/>
      </c>
      <c r="H46" s="17">
        <f>IF(F46="","",F46+G46)</f>
        <v/>
      </c>
      <c r="I46" s="15" t="n"/>
      <c r="J46" s="15">
        <f>IF(I46="","",EOMONTH(I46,1))</f>
        <v/>
      </c>
      <c r="K46" s="15" t="n"/>
      <c r="L46" s="17" t="n"/>
      <c r="M46" s="14">
        <f>IF(C46="","",IF(K46&lt;&gt;"","支払済","未払"))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20" t="n"/>
      <c r="F47" s="21" t="n"/>
      <c r="G47" s="21">
        <f>IF(F47="","",F47*0.1)</f>
        <v/>
      </c>
      <c r="H47" s="21">
        <f>IF(F47="","",F47+G47)</f>
        <v/>
      </c>
      <c r="I47" s="19" t="n"/>
      <c r="J47" s="19">
        <f>IF(I47="","",EOMONTH(I47,1))</f>
        <v/>
      </c>
      <c r="K47" s="19" t="n"/>
      <c r="L47" s="21" t="n"/>
      <c r="M47" s="18">
        <f>IF(C47="","",IF(K47&lt;&gt;"","支払済","未払"))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6" t="n"/>
      <c r="F48" s="17" t="n"/>
      <c r="G48" s="17">
        <f>IF(F48="","",F48*0.1)</f>
        <v/>
      </c>
      <c r="H48" s="17">
        <f>IF(F48="","",F48+G48)</f>
        <v/>
      </c>
      <c r="I48" s="15" t="n"/>
      <c r="J48" s="15">
        <f>IF(I48="","",EOMONTH(I48,1))</f>
        <v/>
      </c>
      <c r="K48" s="15" t="n"/>
      <c r="L48" s="17" t="n"/>
      <c r="M48" s="14">
        <f>IF(C48="","",IF(K48&lt;&gt;"","支払済","未払"))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20" t="n"/>
      <c r="F49" s="21" t="n"/>
      <c r="G49" s="21">
        <f>IF(F49="","",F49*0.1)</f>
        <v/>
      </c>
      <c r="H49" s="21">
        <f>IF(F49="","",F49+G49)</f>
        <v/>
      </c>
      <c r="I49" s="19" t="n"/>
      <c r="J49" s="19">
        <f>IF(I49="","",EOMONTH(I49,1))</f>
        <v/>
      </c>
      <c r="K49" s="19" t="n"/>
      <c r="L49" s="21" t="n"/>
      <c r="M49" s="18">
        <f>IF(C49="","",IF(K49&lt;&gt;"","支払済","未払"))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6" t="n"/>
      <c r="F50" s="17" t="n"/>
      <c r="G50" s="17">
        <f>IF(F50="","",F50*0.1)</f>
        <v/>
      </c>
      <c r="H50" s="17">
        <f>IF(F50="","",F50+G50)</f>
        <v/>
      </c>
      <c r="I50" s="15" t="n"/>
      <c r="J50" s="15">
        <f>IF(I50="","",EOMONTH(I50,1))</f>
        <v/>
      </c>
      <c r="K50" s="15" t="n"/>
      <c r="L50" s="17" t="n"/>
      <c r="M50" s="14">
        <f>IF(C50="","",IF(K50&lt;&gt;"","支払済","未払"))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20" t="n"/>
      <c r="F51" s="21" t="n"/>
      <c r="G51" s="21">
        <f>IF(F51="","",F51*0.1)</f>
        <v/>
      </c>
      <c r="H51" s="21">
        <f>IF(F51="","",F51+G51)</f>
        <v/>
      </c>
      <c r="I51" s="19" t="n"/>
      <c r="J51" s="19">
        <f>IF(I51="","",EOMONTH(I51,1))</f>
        <v/>
      </c>
      <c r="K51" s="19" t="n"/>
      <c r="L51" s="21" t="n"/>
      <c r="M51" s="18">
        <f>IF(C51="","",IF(K51&lt;&gt;"","支払済","未払"))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6" t="n"/>
      <c r="F52" s="17" t="n"/>
      <c r="G52" s="17">
        <f>IF(F52="","",F52*0.1)</f>
        <v/>
      </c>
      <c r="H52" s="17">
        <f>IF(F52="","",F52+G52)</f>
        <v/>
      </c>
      <c r="I52" s="15" t="n"/>
      <c r="J52" s="15">
        <f>IF(I52="","",EOMONTH(I52,1))</f>
        <v/>
      </c>
      <c r="K52" s="15" t="n"/>
      <c r="L52" s="17" t="n"/>
      <c r="M52" s="14">
        <f>IF(C52="","",IF(K52&lt;&gt;"","支払済","未払"))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20" t="n"/>
      <c r="F53" s="21" t="n"/>
      <c r="G53" s="21">
        <f>IF(F53="","",F53*0.1)</f>
        <v/>
      </c>
      <c r="H53" s="21">
        <f>IF(F53="","",F53+G53)</f>
        <v/>
      </c>
      <c r="I53" s="19" t="n"/>
      <c r="J53" s="19">
        <f>IF(I53="","",EOMONTH(I53,1))</f>
        <v/>
      </c>
      <c r="K53" s="19" t="n"/>
      <c r="L53" s="21" t="n"/>
      <c r="M53" s="18">
        <f>IF(C53="","",IF(K53&lt;&gt;"","支払済","未払"))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6" t="n"/>
      <c r="F54" s="17" t="n"/>
      <c r="G54" s="17">
        <f>IF(F54="","",F54*0.1)</f>
        <v/>
      </c>
      <c r="H54" s="17">
        <f>IF(F54="","",F54+G54)</f>
        <v/>
      </c>
      <c r="I54" s="15" t="n"/>
      <c r="J54" s="15">
        <f>IF(I54="","",EOMONTH(I54,1))</f>
        <v/>
      </c>
      <c r="K54" s="15" t="n"/>
      <c r="L54" s="17" t="n"/>
      <c r="M54" s="14">
        <f>IF(C54="","",IF(K54&lt;&gt;"","支払済","未払"))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20" t="n"/>
      <c r="F55" s="21" t="n"/>
      <c r="G55" s="21">
        <f>IF(F55="","",F55*0.1)</f>
        <v/>
      </c>
      <c r="H55" s="21">
        <f>IF(F55="","",F55+G55)</f>
        <v/>
      </c>
      <c r="I55" s="19" t="n"/>
      <c r="J55" s="19">
        <f>IF(I55="","",EOMONTH(I55,1))</f>
        <v/>
      </c>
      <c r="K55" s="19" t="n"/>
      <c r="L55" s="21" t="n"/>
      <c r="M55" s="18">
        <f>IF(C55="","",IF(K55&lt;&gt;"","支払済","未払"))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6" t="n"/>
      <c r="F56" s="17" t="n"/>
      <c r="G56" s="17">
        <f>IF(F56="","",F56*0.1)</f>
        <v/>
      </c>
      <c r="H56" s="17">
        <f>IF(F56="","",F56+G56)</f>
        <v/>
      </c>
      <c r="I56" s="15" t="n"/>
      <c r="J56" s="15">
        <f>IF(I56="","",EOMONTH(I56,1))</f>
        <v/>
      </c>
      <c r="K56" s="15" t="n"/>
      <c r="L56" s="17" t="n"/>
      <c r="M56" s="14">
        <f>IF(C56="","",IF(K56&lt;&gt;"","支払済","未払"))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20" t="n"/>
      <c r="F57" s="21" t="n"/>
      <c r="G57" s="21">
        <f>IF(F57="","",F57*0.1)</f>
        <v/>
      </c>
      <c r="H57" s="21">
        <f>IF(F57="","",F57+G57)</f>
        <v/>
      </c>
      <c r="I57" s="19" t="n"/>
      <c r="J57" s="19">
        <f>IF(I57="","",EOMONTH(I57,1))</f>
        <v/>
      </c>
      <c r="K57" s="19" t="n"/>
      <c r="L57" s="21" t="n"/>
      <c r="M57" s="18">
        <f>IF(C57="","",IF(K57&lt;&gt;"","支払済","未払"))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6" t="n"/>
      <c r="F58" s="17" t="n"/>
      <c r="G58" s="17">
        <f>IF(F58="","",F58*0.1)</f>
        <v/>
      </c>
      <c r="H58" s="17">
        <f>IF(F58="","",F58+G58)</f>
        <v/>
      </c>
      <c r="I58" s="15" t="n"/>
      <c r="J58" s="15">
        <f>IF(I58="","",EOMONTH(I58,1))</f>
        <v/>
      </c>
      <c r="K58" s="15" t="n"/>
      <c r="L58" s="17" t="n"/>
      <c r="M58" s="14">
        <f>IF(C58="","",IF(K58&lt;&gt;"","支払済","未払"))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20" t="n"/>
      <c r="F59" s="21" t="n"/>
      <c r="G59" s="21">
        <f>IF(F59="","",F59*0.1)</f>
        <v/>
      </c>
      <c r="H59" s="21">
        <f>IF(F59="","",F59+G59)</f>
        <v/>
      </c>
      <c r="I59" s="19" t="n"/>
      <c r="J59" s="19">
        <f>IF(I59="","",EOMONTH(I59,1))</f>
        <v/>
      </c>
      <c r="K59" s="19" t="n"/>
      <c r="L59" s="21" t="n"/>
      <c r="M59" s="18">
        <f>IF(C59="","",IF(K59&lt;&gt;"","支払済","未払"))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6" t="n"/>
      <c r="F60" s="17" t="n"/>
      <c r="G60" s="17">
        <f>IF(F60="","",F60*0.1)</f>
        <v/>
      </c>
      <c r="H60" s="17">
        <f>IF(F60="","",F60+G60)</f>
        <v/>
      </c>
      <c r="I60" s="15" t="n"/>
      <c r="J60" s="15">
        <f>IF(I60="","",EOMONTH(I60,1))</f>
        <v/>
      </c>
      <c r="K60" s="15" t="n"/>
      <c r="L60" s="17" t="n"/>
      <c r="M60" s="14">
        <f>IF(C60="","",IF(K60&lt;&gt;"","支払済","未払"))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20" t="n"/>
      <c r="F61" s="21" t="n"/>
      <c r="G61" s="21">
        <f>IF(F61="","",F61*0.1)</f>
        <v/>
      </c>
      <c r="H61" s="21">
        <f>IF(F61="","",F61+G61)</f>
        <v/>
      </c>
      <c r="I61" s="19" t="n"/>
      <c r="J61" s="19">
        <f>IF(I61="","",EOMONTH(I61,1))</f>
        <v/>
      </c>
      <c r="K61" s="19" t="n"/>
      <c r="L61" s="21" t="n"/>
      <c r="M61" s="18">
        <f>IF(C61="","",IF(K61&lt;&gt;"","支払済","未払"))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6" t="n"/>
      <c r="F62" s="17" t="n"/>
      <c r="G62" s="17">
        <f>IF(F62="","",F62*0.1)</f>
        <v/>
      </c>
      <c r="H62" s="17">
        <f>IF(F62="","",F62+G62)</f>
        <v/>
      </c>
      <c r="I62" s="15" t="n"/>
      <c r="J62" s="15">
        <f>IF(I62="","",EOMONTH(I62,1))</f>
        <v/>
      </c>
      <c r="K62" s="15" t="n"/>
      <c r="L62" s="17" t="n"/>
      <c r="M62" s="14">
        <f>IF(C62="","",IF(K62&lt;&gt;"","支払済","未払"))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20" t="n"/>
      <c r="F63" s="21" t="n"/>
      <c r="G63" s="21">
        <f>IF(F63="","",F63*0.1)</f>
        <v/>
      </c>
      <c r="H63" s="21">
        <f>IF(F63="","",F63+G63)</f>
        <v/>
      </c>
      <c r="I63" s="19" t="n"/>
      <c r="J63" s="19">
        <f>IF(I63="","",EOMONTH(I63,1))</f>
        <v/>
      </c>
      <c r="K63" s="19" t="n"/>
      <c r="L63" s="21" t="n"/>
      <c r="M63" s="18">
        <f>IF(C63="","",IF(K63&lt;&gt;"","支払済","未払"))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6" t="n"/>
      <c r="F64" s="17" t="n"/>
      <c r="G64" s="17">
        <f>IF(F64="","",F64*0.1)</f>
        <v/>
      </c>
      <c r="H64" s="17">
        <f>IF(F64="","",F64+G64)</f>
        <v/>
      </c>
      <c r="I64" s="15" t="n"/>
      <c r="J64" s="15">
        <f>IF(I64="","",EOMONTH(I64,1))</f>
        <v/>
      </c>
      <c r="K64" s="15" t="n"/>
      <c r="L64" s="17" t="n"/>
      <c r="M64" s="14">
        <f>IF(C64="","",IF(K64&lt;&gt;"","支払済","未払"))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20" t="n"/>
      <c r="F65" s="21" t="n"/>
      <c r="G65" s="21">
        <f>IF(F65="","",F65*0.1)</f>
        <v/>
      </c>
      <c r="H65" s="21">
        <f>IF(F65="","",F65+G65)</f>
        <v/>
      </c>
      <c r="I65" s="19" t="n"/>
      <c r="J65" s="19">
        <f>IF(I65="","",EOMONTH(I65,1))</f>
        <v/>
      </c>
      <c r="K65" s="19" t="n"/>
      <c r="L65" s="21" t="n"/>
      <c r="M65" s="18">
        <f>IF(C65="","",IF(K65&lt;&gt;"","支払済","未払"))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6" t="n"/>
      <c r="F66" s="17" t="n"/>
      <c r="G66" s="17">
        <f>IF(F66="","",F66*0.1)</f>
        <v/>
      </c>
      <c r="H66" s="17">
        <f>IF(F66="","",F66+G66)</f>
        <v/>
      </c>
      <c r="I66" s="15" t="n"/>
      <c r="J66" s="15">
        <f>IF(I66="","",EOMONTH(I66,1))</f>
        <v/>
      </c>
      <c r="K66" s="15" t="n"/>
      <c r="L66" s="17" t="n"/>
      <c r="M66" s="14">
        <f>IF(C66="","",IF(K66&lt;&gt;"","支払済","未払"))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20" t="n"/>
      <c r="F67" s="21" t="n"/>
      <c r="G67" s="21">
        <f>IF(F67="","",F67*0.1)</f>
        <v/>
      </c>
      <c r="H67" s="21">
        <f>IF(F67="","",F67+G67)</f>
        <v/>
      </c>
      <c r="I67" s="19" t="n"/>
      <c r="J67" s="19">
        <f>IF(I67="","",EOMONTH(I67,1))</f>
        <v/>
      </c>
      <c r="K67" s="19" t="n"/>
      <c r="L67" s="21" t="n"/>
      <c r="M67" s="18">
        <f>IF(C67="","",IF(K67&lt;&gt;"","支払済","未払"))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6" t="n"/>
      <c r="F68" s="17" t="n"/>
      <c r="G68" s="17">
        <f>IF(F68="","",F68*0.1)</f>
        <v/>
      </c>
      <c r="H68" s="17">
        <f>IF(F68="","",F68+G68)</f>
        <v/>
      </c>
      <c r="I68" s="15" t="n"/>
      <c r="J68" s="15">
        <f>IF(I68="","",EOMONTH(I68,1))</f>
        <v/>
      </c>
      <c r="K68" s="15" t="n"/>
      <c r="L68" s="17" t="n"/>
      <c r="M68" s="14">
        <f>IF(C68="","",IF(K68&lt;&gt;"","支払済","未払"))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20" t="n"/>
      <c r="F69" s="21" t="n"/>
      <c r="G69" s="21">
        <f>IF(F69="","",F69*0.1)</f>
        <v/>
      </c>
      <c r="H69" s="21">
        <f>IF(F69="","",F69+G69)</f>
        <v/>
      </c>
      <c r="I69" s="19" t="n"/>
      <c r="J69" s="19">
        <f>IF(I69="","",EOMONTH(I69,1))</f>
        <v/>
      </c>
      <c r="K69" s="19" t="n"/>
      <c r="L69" s="21" t="n"/>
      <c r="M69" s="18">
        <f>IF(C69="","",IF(K69&lt;&gt;"","支払済","未払"))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6" t="n"/>
      <c r="F70" s="17" t="n"/>
      <c r="G70" s="17">
        <f>IF(F70="","",F70*0.1)</f>
        <v/>
      </c>
      <c r="H70" s="17">
        <f>IF(F70="","",F70+G70)</f>
        <v/>
      </c>
      <c r="I70" s="15" t="n"/>
      <c r="J70" s="15">
        <f>IF(I70="","",EOMONTH(I70,1))</f>
        <v/>
      </c>
      <c r="K70" s="15" t="n"/>
      <c r="L70" s="17" t="n"/>
      <c r="M70" s="14">
        <f>IF(C70="","",IF(K70&lt;&gt;"","支払済","未払"))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20" t="n"/>
      <c r="F71" s="21" t="n"/>
      <c r="G71" s="21">
        <f>IF(F71="","",F71*0.1)</f>
        <v/>
      </c>
      <c r="H71" s="21">
        <f>IF(F71="","",F71+G71)</f>
        <v/>
      </c>
      <c r="I71" s="19" t="n"/>
      <c r="J71" s="19">
        <f>IF(I71="","",EOMONTH(I71,1))</f>
        <v/>
      </c>
      <c r="K71" s="19" t="n"/>
      <c r="L71" s="21" t="n"/>
      <c r="M71" s="18">
        <f>IF(C71="","",IF(K71&lt;&gt;"","支払済","未払"))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6" t="n"/>
      <c r="F72" s="17" t="n"/>
      <c r="G72" s="17">
        <f>IF(F72="","",F72*0.1)</f>
        <v/>
      </c>
      <c r="H72" s="17">
        <f>IF(F72="","",F72+G72)</f>
        <v/>
      </c>
      <c r="I72" s="15" t="n"/>
      <c r="J72" s="15">
        <f>IF(I72="","",EOMONTH(I72,1))</f>
        <v/>
      </c>
      <c r="K72" s="15" t="n"/>
      <c r="L72" s="17" t="n"/>
      <c r="M72" s="14">
        <f>IF(C72="","",IF(K72&lt;&gt;"","支払済","未払"))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20" t="n"/>
      <c r="F73" s="21" t="n"/>
      <c r="G73" s="21">
        <f>IF(F73="","",F73*0.1)</f>
        <v/>
      </c>
      <c r="H73" s="21">
        <f>IF(F73="","",F73+G73)</f>
        <v/>
      </c>
      <c r="I73" s="19" t="n"/>
      <c r="J73" s="19">
        <f>IF(I73="","",EOMONTH(I73,1))</f>
        <v/>
      </c>
      <c r="K73" s="19" t="n"/>
      <c r="L73" s="21" t="n"/>
      <c r="M73" s="18">
        <f>IF(C73="","",IF(K73&lt;&gt;"","支払済","未払"))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6" t="n"/>
      <c r="F74" s="17" t="n"/>
      <c r="G74" s="17">
        <f>IF(F74="","",F74*0.1)</f>
        <v/>
      </c>
      <c r="H74" s="17">
        <f>IF(F74="","",F74+G74)</f>
        <v/>
      </c>
      <c r="I74" s="15" t="n"/>
      <c r="J74" s="15">
        <f>IF(I74="","",EOMONTH(I74,1))</f>
        <v/>
      </c>
      <c r="K74" s="15" t="n"/>
      <c r="L74" s="17" t="n"/>
      <c r="M74" s="14">
        <f>IF(C74="","",IF(K74&lt;&gt;"","支払済","未払"))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20" t="n"/>
      <c r="F75" s="21" t="n"/>
      <c r="G75" s="21">
        <f>IF(F75="","",F75*0.1)</f>
        <v/>
      </c>
      <c r="H75" s="21">
        <f>IF(F75="","",F75+G75)</f>
        <v/>
      </c>
      <c r="I75" s="19" t="n"/>
      <c r="J75" s="19">
        <f>IF(I75="","",EOMONTH(I75,1))</f>
        <v/>
      </c>
      <c r="K75" s="19" t="n"/>
      <c r="L75" s="21" t="n"/>
      <c r="M75" s="18">
        <f>IF(C75="","",IF(K75&lt;&gt;"","支払済","未払"))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6" t="n"/>
      <c r="F76" s="17" t="n"/>
      <c r="G76" s="17">
        <f>IF(F76="","",F76*0.1)</f>
        <v/>
      </c>
      <c r="H76" s="17">
        <f>IF(F76="","",F76+G76)</f>
        <v/>
      </c>
      <c r="I76" s="15" t="n"/>
      <c r="J76" s="15">
        <f>IF(I76="","",EOMONTH(I76,1))</f>
        <v/>
      </c>
      <c r="K76" s="15" t="n"/>
      <c r="L76" s="17" t="n"/>
      <c r="M76" s="14">
        <f>IF(C76="","",IF(K76&lt;&gt;"","支払済","未払"))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20" t="n"/>
      <c r="F77" s="21" t="n"/>
      <c r="G77" s="21">
        <f>IF(F77="","",F77*0.1)</f>
        <v/>
      </c>
      <c r="H77" s="21">
        <f>IF(F77="","",F77+G77)</f>
        <v/>
      </c>
      <c r="I77" s="19" t="n"/>
      <c r="J77" s="19">
        <f>IF(I77="","",EOMONTH(I77,1))</f>
        <v/>
      </c>
      <c r="K77" s="19" t="n"/>
      <c r="L77" s="21" t="n"/>
      <c r="M77" s="18">
        <f>IF(C77="","",IF(K77&lt;&gt;"","支払済","未払"))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6" t="n"/>
      <c r="F78" s="17" t="n"/>
      <c r="G78" s="17">
        <f>IF(F78="","",F78*0.1)</f>
        <v/>
      </c>
      <c r="H78" s="17">
        <f>IF(F78="","",F78+G78)</f>
        <v/>
      </c>
      <c r="I78" s="15" t="n"/>
      <c r="J78" s="15">
        <f>IF(I78="","",EOMONTH(I78,1))</f>
        <v/>
      </c>
      <c r="K78" s="15" t="n"/>
      <c r="L78" s="17" t="n"/>
      <c r="M78" s="14">
        <f>IF(C78="","",IF(K78&lt;&gt;"","支払済","未払"))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20" t="n"/>
      <c r="F79" s="21" t="n"/>
      <c r="G79" s="21">
        <f>IF(F79="","",F79*0.1)</f>
        <v/>
      </c>
      <c r="H79" s="21">
        <f>IF(F79="","",F79+G79)</f>
        <v/>
      </c>
      <c r="I79" s="19" t="n"/>
      <c r="J79" s="19">
        <f>IF(I79="","",EOMONTH(I79,1))</f>
        <v/>
      </c>
      <c r="K79" s="19" t="n"/>
      <c r="L79" s="21" t="n"/>
      <c r="M79" s="18">
        <f>IF(C79="","",IF(K79&lt;&gt;"","支払済","未払"))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6" t="n"/>
      <c r="F80" s="17" t="n"/>
      <c r="G80" s="17">
        <f>IF(F80="","",F80*0.1)</f>
        <v/>
      </c>
      <c r="H80" s="17">
        <f>IF(F80="","",F80+G80)</f>
        <v/>
      </c>
      <c r="I80" s="15" t="n"/>
      <c r="J80" s="15">
        <f>IF(I80="","",EOMONTH(I80,1))</f>
        <v/>
      </c>
      <c r="K80" s="15" t="n"/>
      <c r="L80" s="17" t="n"/>
      <c r="M80" s="14">
        <f>IF(C80="","",IF(K80&lt;&gt;"","支払済","未払"))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20" t="n"/>
      <c r="F81" s="21" t="n"/>
      <c r="G81" s="21">
        <f>IF(F81="","",F81*0.1)</f>
        <v/>
      </c>
      <c r="H81" s="21">
        <f>IF(F81="","",F81+G81)</f>
        <v/>
      </c>
      <c r="I81" s="19" t="n"/>
      <c r="J81" s="19">
        <f>IF(I81="","",EOMONTH(I81,1))</f>
        <v/>
      </c>
      <c r="K81" s="19" t="n"/>
      <c r="L81" s="21" t="n"/>
      <c r="M81" s="18">
        <f>IF(C81="","",IF(K81&lt;&gt;"","支払済","未払"))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6" t="n"/>
      <c r="F82" s="17" t="n"/>
      <c r="G82" s="17">
        <f>IF(F82="","",F82*0.1)</f>
        <v/>
      </c>
      <c r="H82" s="17">
        <f>IF(F82="","",F82+G82)</f>
        <v/>
      </c>
      <c r="I82" s="15" t="n"/>
      <c r="J82" s="15">
        <f>IF(I82="","",EOMONTH(I82,1))</f>
        <v/>
      </c>
      <c r="K82" s="15" t="n"/>
      <c r="L82" s="17" t="n"/>
      <c r="M82" s="14">
        <f>IF(C82="","",IF(K82&lt;&gt;"","支払済","未払"))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20" t="n"/>
      <c r="F83" s="21" t="n"/>
      <c r="G83" s="21">
        <f>IF(F83="","",F83*0.1)</f>
        <v/>
      </c>
      <c r="H83" s="21">
        <f>IF(F83="","",F83+G83)</f>
        <v/>
      </c>
      <c r="I83" s="19" t="n"/>
      <c r="J83" s="19">
        <f>IF(I83="","",EOMONTH(I83,1))</f>
        <v/>
      </c>
      <c r="K83" s="19" t="n"/>
      <c r="L83" s="21" t="n"/>
      <c r="M83" s="18">
        <f>IF(C83="","",IF(K83&lt;&gt;"","支払済","未払"))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6" t="n"/>
      <c r="F84" s="17" t="n"/>
      <c r="G84" s="17">
        <f>IF(F84="","",F84*0.1)</f>
        <v/>
      </c>
      <c r="H84" s="17">
        <f>IF(F84="","",F84+G84)</f>
        <v/>
      </c>
      <c r="I84" s="15" t="n"/>
      <c r="J84" s="15">
        <f>IF(I84="","",EOMONTH(I84,1))</f>
        <v/>
      </c>
      <c r="K84" s="15" t="n"/>
      <c r="L84" s="17" t="n"/>
      <c r="M84" s="14">
        <f>IF(C84="","",IF(K84&lt;&gt;"","支払済","未払"))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20" t="n"/>
      <c r="F85" s="21" t="n"/>
      <c r="G85" s="21">
        <f>IF(F85="","",F85*0.1)</f>
        <v/>
      </c>
      <c r="H85" s="21">
        <f>IF(F85="","",F85+G85)</f>
        <v/>
      </c>
      <c r="I85" s="19" t="n"/>
      <c r="J85" s="19">
        <f>IF(I85="","",EOMONTH(I85,1))</f>
        <v/>
      </c>
      <c r="K85" s="19" t="n"/>
      <c r="L85" s="21" t="n"/>
      <c r="M85" s="18">
        <f>IF(C85="","",IF(K85&lt;&gt;"","支払済","未払"))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6" t="n"/>
      <c r="F86" s="17" t="n"/>
      <c r="G86" s="17">
        <f>IF(F86="","",F86*0.1)</f>
        <v/>
      </c>
      <c r="H86" s="17">
        <f>IF(F86="","",F86+G86)</f>
        <v/>
      </c>
      <c r="I86" s="15" t="n"/>
      <c r="J86" s="15">
        <f>IF(I86="","",EOMONTH(I86,1))</f>
        <v/>
      </c>
      <c r="K86" s="15" t="n"/>
      <c r="L86" s="17" t="n"/>
      <c r="M86" s="14">
        <f>IF(C86="","",IF(K86&lt;&gt;"","支払済","未払"))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20" t="n"/>
      <c r="F87" s="21" t="n"/>
      <c r="G87" s="21">
        <f>IF(F87="","",F87*0.1)</f>
        <v/>
      </c>
      <c r="H87" s="21">
        <f>IF(F87="","",F87+G87)</f>
        <v/>
      </c>
      <c r="I87" s="19" t="n"/>
      <c r="J87" s="19">
        <f>IF(I87="","",EOMONTH(I87,1))</f>
        <v/>
      </c>
      <c r="K87" s="19" t="n"/>
      <c r="L87" s="21" t="n"/>
      <c r="M87" s="18">
        <f>IF(C87="","",IF(K87&lt;&gt;"","支払済","未払"))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6" t="n"/>
      <c r="F88" s="17" t="n"/>
      <c r="G88" s="17">
        <f>IF(F88="","",F88*0.1)</f>
        <v/>
      </c>
      <c r="H88" s="17">
        <f>IF(F88="","",F88+G88)</f>
        <v/>
      </c>
      <c r="I88" s="15" t="n"/>
      <c r="J88" s="15">
        <f>IF(I88="","",EOMONTH(I88,1))</f>
        <v/>
      </c>
      <c r="K88" s="15" t="n"/>
      <c r="L88" s="17" t="n"/>
      <c r="M88" s="14">
        <f>IF(C88="","",IF(K88&lt;&gt;"","支払済","未払"))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20" t="n"/>
      <c r="F89" s="21" t="n"/>
      <c r="G89" s="21">
        <f>IF(F89="","",F89*0.1)</f>
        <v/>
      </c>
      <c r="H89" s="21">
        <f>IF(F89="","",F89+G89)</f>
        <v/>
      </c>
      <c r="I89" s="19" t="n"/>
      <c r="J89" s="19">
        <f>IF(I89="","",EOMONTH(I89,1))</f>
        <v/>
      </c>
      <c r="K89" s="19" t="n"/>
      <c r="L89" s="21" t="n"/>
      <c r="M89" s="18">
        <f>IF(C89="","",IF(K89&lt;&gt;"","支払済","未払"))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6" t="n"/>
      <c r="F90" s="17" t="n"/>
      <c r="G90" s="17">
        <f>IF(F90="","",F90*0.1)</f>
        <v/>
      </c>
      <c r="H90" s="17">
        <f>IF(F90="","",F90+G90)</f>
        <v/>
      </c>
      <c r="I90" s="15" t="n"/>
      <c r="J90" s="15">
        <f>IF(I90="","",EOMONTH(I90,1))</f>
        <v/>
      </c>
      <c r="K90" s="15" t="n"/>
      <c r="L90" s="17" t="n"/>
      <c r="M90" s="14">
        <f>IF(C90="","",IF(K90&lt;&gt;"","支払済","未払"))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20" t="n"/>
      <c r="F91" s="21" t="n"/>
      <c r="G91" s="21">
        <f>IF(F91="","",F91*0.1)</f>
        <v/>
      </c>
      <c r="H91" s="21">
        <f>IF(F91="","",F91+G91)</f>
        <v/>
      </c>
      <c r="I91" s="19" t="n"/>
      <c r="J91" s="19">
        <f>IF(I91="","",EOMONTH(I91,1))</f>
        <v/>
      </c>
      <c r="K91" s="19" t="n"/>
      <c r="L91" s="21" t="n"/>
      <c r="M91" s="18">
        <f>IF(C91="","",IF(K91&lt;&gt;"","支払済","未払"))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6" t="n"/>
      <c r="F92" s="17" t="n"/>
      <c r="G92" s="17">
        <f>IF(F92="","",F92*0.1)</f>
        <v/>
      </c>
      <c r="H92" s="17">
        <f>IF(F92="","",F92+G92)</f>
        <v/>
      </c>
      <c r="I92" s="15" t="n"/>
      <c r="J92" s="15">
        <f>IF(I92="","",EOMONTH(I92,1))</f>
        <v/>
      </c>
      <c r="K92" s="15" t="n"/>
      <c r="L92" s="17" t="n"/>
      <c r="M92" s="14">
        <f>IF(C92="","",IF(K92&lt;&gt;"","支払済","未払"))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20" t="n"/>
      <c r="F93" s="21" t="n"/>
      <c r="G93" s="21">
        <f>IF(F93="","",F93*0.1)</f>
        <v/>
      </c>
      <c r="H93" s="21">
        <f>IF(F93="","",F93+G93)</f>
        <v/>
      </c>
      <c r="I93" s="19" t="n"/>
      <c r="J93" s="19">
        <f>IF(I93="","",EOMONTH(I93,1))</f>
        <v/>
      </c>
      <c r="K93" s="19" t="n"/>
      <c r="L93" s="21" t="n"/>
      <c r="M93" s="18">
        <f>IF(C93="","",IF(K93&lt;&gt;"","支払済","未払"))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6" t="n"/>
      <c r="F94" s="17" t="n"/>
      <c r="G94" s="17">
        <f>IF(F94="","",F94*0.1)</f>
        <v/>
      </c>
      <c r="H94" s="17">
        <f>IF(F94="","",F94+G94)</f>
        <v/>
      </c>
      <c r="I94" s="15" t="n"/>
      <c r="J94" s="15">
        <f>IF(I94="","",EOMONTH(I94,1))</f>
        <v/>
      </c>
      <c r="K94" s="15" t="n"/>
      <c r="L94" s="17" t="n"/>
      <c r="M94" s="14">
        <f>IF(C94="","",IF(K94&lt;&gt;"","支払済","未払"))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20" t="n"/>
      <c r="F95" s="21" t="n"/>
      <c r="G95" s="21">
        <f>IF(F95="","",F95*0.1)</f>
        <v/>
      </c>
      <c r="H95" s="21">
        <f>IF(F95="","",F95+G95)</f>
        <v/>
      </c>
      <c r="I95" s="19" t="n"/>
      <c r="J95" s="19">
        <f>IF(I95="","",EOMONTH(I95,1))</f>
        <v/>
      </c>
      <c r="K95" s="19" t="n"/>
      <c r="L95" s="21" t="n"/>
      <c r="M95" s="18">
        <f>IF(C95="","",IF(K95&lt;&gt;"","支払済","未払"))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6" t="n"/>
      <c r="F96" s="17" t="n"/>
      <c r="G96" s="17">
        <f>IF(F96="","",F96*0.1)</f>
        <v/>
      </c>
      <c r="H96" s="17">
        <f>IF(F96="","",F96+G96)</f>
        <v/>
      </c>
      <c r="I96" s="15" t="n"/>
      <c r="J96" s="15">
        <f>IF(I96="","",EOMONTH(I96,1))</f>
        <v/>
      </c>
      <c r="K96" s="15" t="n"/>
      <c r="L96" s="17" t="n"/>
      <c r="M96" s="14">
        <f>IF(C96="","",IF(K96&lt;&gt;"","支払済","未払"))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20" t="n"/>
      <c r="F97" s="21" t="n"/>
      <c r="G97" s="21">
        <f>IF(F97="","",F97*0.1)</f>
        <v/>
      </c>
      <c r="H97" s="21">
        <f>IF(F97="","",F97+G97)</f>
        <v/>
      </c>
      <c r="I97" s="19" t="n"/>
      <c r="J97" s="19">
        <f>IF(I97="","",EOMONTH(I97,1))</f>
        <v/>
      </c>
      <c r="K97" s="19" t="n"/>
      <c r="L97" s="21" t="n"/>
      <c r="M97" s="18">
        <f>IF(C97="","",IF(K97&lt;&gt;"","支払済","未払"))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6" t="n"/>
      <c r="F98" s="17" t="n"/>
      <c r="G98" s="17">
        <f>IF(F98="","",F98*0.1)</f>
        <v/>
      </c>
      <c r="H98" s="17">
        <f>IF(F98="","",F98+G98)</f>
        <v/>
      </c>
      <c r="I98" s="15" t="n"/>
      <c r="J98" s="15">
        <f>IF(I98="","",EOMONTH(I98,1))</f>
        <v/>
      </c>
      <c r="K98" s="15" t="n"/>
      <c r="L98" s="17" t="n"/>
      <c r="M98" s="14">
        <f>IF(C98="","",IF(K98&lt;&gt;"","支払済","未払"))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20" t="n"/>
      <c r="F99" s="21" t="n"/>
      <c r="G99" s="21">
        <f>IF(F99="","",F99*0.1)</f>
        <v/>
      </c>
      <c r="H99" s="21">
        <f>IF(F99="","",F99+G99)</f>
        <v/>
      </c>
      <c r="I99" s="19" t="n"/>
      <c r="J99" s="19">
        <f>IF(I99="","",EOMONTH(I99,1))</f>
        <v/>
      </c>
      <c r="K99" s="19" t="n"/>
      <c r="L99" s="21" t="n"/>
      <c r="M99" s="18">
        <f>IF(C99="","",IF(K99&lt;&gt;"","支払済","未払"))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6" t="n"/>
      <c r="F100" s="17" t="n"/>
      <c r="G100" s="17">
        <f>IF(F100="","",F100*0.1)</f>
        <v/>
      </c>
      <c r="H100" s="17">
        <f>IF(F100="","",F100+G100)</f>
        <v/>
      </c>
      <c r="I100" s="15" t="n"/>
      <c r="J100" s="15">
        <f>IF(I100="","",EOMONTH(I100,1))</f>
        <v/>
      </c>
      <c r="K100" s="15" t="n"/>
      <c r="L100" s="17" t="n"/>
      <c r="M100" s="14">
        <f>IF(C100="","",IF(K100&lt;&gt;"","支払済","未払"))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20" t="n"/>
      <c r="F101" s="21" t="n"/>
      <c r="G101" s="21">
        <f>IF(F101="","",F101*0.1)</f>
        <v/>
      </c>
      <c r="H101" s="21">
        <f>IF(F101="","",F101+G101)</f>
        <v/>
      </c>
      <c r="I101" s="19" t="n"/>
      <c r="J101" s="19">
        <f>IF(I101="","",EOMONTH(I101,1))</f>
        <v/>
      </c>
      <c r="K101" s="19" t="n"/>
      <c r="L101" s="21" t="n"/>
      <c r="M101" s="18">
        <f>IF(C101="","",IF(K101&lt;&gt;"","支払済","未払"))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6" t="n"/>
      <c r="F102" s="17" t="n"/>
      <c r="G102" s="17">
        <f>IF(F102="","",F102*0.1)</f>
        <v/>
      </c>
      <c r="H102" s="17">
        <f>IF(F102="","",F102+G102)</f>
        <v/>
      </c>
      <c r="I102" s="15" t="n"/>
      <c r="J102" s="15">
        <f>IF(I102="","",EOMONTH(I102,1))</f>
        <v/>
      </c>
      <c r="K102" s="15" t="n"/>
      <c r="L102" s="17" t="n"/>
      <c r="M102" s="14">
        <f>IF(C102="","",IF(K102&lt;&gt;"","支払済","未払"))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20" t="n"/>
      <c r="F103" s="21" t="n"/>
      <c r="G103" s="21">
        <f>IF(F103="","",F103*0.1)</f>
        <v/>
      </c>
      <c r="H103" s="21">
        <f>IF(F103="","",F103+G103)</f>
        <v/>
      </c>
      <c r="I103" s="19" t="n"/>
      <c r="J103" s="19">
        <f>IF(I103="","",EOMONTH(I103,1))</f>
        <v/>
      </c>
      <c r="K103" s="19" t="n"/>
      <c r="L103" s="21" t="n"/>
      <c r="M103" s="18">
        <f>IF(C103="","",IF(K103&lt;&gt;"","支払済","未払"))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6" t="n"/>
      <c r="F104" s="17" t="n"/>
      <c r="G104" s="17">
        <f>IF(F104="","",F104*0.1)</f>
        <v/>
      </c>
      <c r="H104" s="17">
        <f>IF(F104="","",F104+G104)</f>
        <v/>
      </c>
      <c r="I104" s="15" t="n"/>
      <c r="J104" s="15">
        <f>IF(I104="","",EOMONTH(I104,1))</f>
        <v/>
      </c>
      <c r="K104" s="15" t="n"/>
      <c r="L104" s="17" t="n"/>
      <c r="M104" s="14">
        <f>IF(C104="","",IF(K104&lt;&gt;"","支払済","未払"))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20" t="n"/>
      <c r="F105" s="21" t="n"/>
      <c r="G105" s="21">
        <f>IF(F105="","",F105*0.1)</f>
        <v/>
      </c>
      <c r="H105" s="21">
        <f>IF(F105="","",F105+G105)</f>
        <v/>
      </c>
      <c r="I105" s="19" t="n"/>
      <c r="J105" s="19">
        <f>IF(I105="","",EOMONTH(I105,1))</f>
        <v/>
      </c>
      <c r="K105" s="19" t="n"/>
      <c r="L105" s="21" t="n"/>
      <c r="M105" s="18">
        <f>IF(C105="","",IF(K105&lt;&gt;"","支払済","未払"))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6" t="n"/>
      <c r="F106" s="17" t="n"/>
      <c r="G106" s="17">
        <f>IF(F106="","",F106*0.1)</f>
        <v/>
      </c>
      <c r="H106" s="17">
        <f>IF(F106="","",F106+G106)</f>
        <v/>
      </c>
      <c r="I106" s="15" t="n"/>
      <c r="J106" s="15">
        <f>IF(I106="","",EOMONTH(I106,1))</f>
        <v/>
      </c>
      <c r="K106" s="15" t="n"/>
      <c r="L106" s="17" t="n"/>
      <c r="M106" s="14">
        <f>IF(C106="","",IF(K106&lt;&gt;"","支払済","未払"))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20" t="n"/>
      <c r="F107" s="21" t="n"/>
      <c r="G107" s="21">
        <f>IF(F107="","",F107*0.1)</f>
        <v/>
      </c>
      <c r="H107" s="21">
        <f>IF(F107="","",F107+G107)</f>
        <v/>
      </c>
      <c r="I107" s="19" t="n"/>
      <c r="J107" s="19">
        <f>IF(I107="","",EOMONTH(I107,1))</f>
        <v/>
      </c>
      <c r="K107" s="19" t="n"/>
      <c r="L107" s="21" t="n"/>
      <c r="M107" s="18">
        <f>IF(C107="","",IF(K107&lt;&gt;"","支払済","未払"))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6" t="n"/>
      <c r="F108" s="17" t="n"/>
      <c r="G108" s="17">
        <f>IF(F108="","",F108*0.1)</f>
        <v/>
      </c>
      <c r="H108" s="17">
        <f>IF(F108="","",F108+G108)</f>
        <v/>
      </c>
      <c r="I108" s="15" t="n"/>
      <c r="J108" s="15">
        <f>IF(I108="","",EOMONTH(I108,1))</f>
        <v/>
      </c>
      <c r="K108" s="15" t="n"/>
      <c r="L108" s="17" t="n"/>
      <c r="M108" s="14">
        <f>IF(C108="","",IF(K108&lt;&gt;"","支払済","未払"))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20" t="n"/>
      <c r="F109" s="21" t="n"/>
      <c r="G109" s="21">
        <f>IF(F109="","",F109*0.1)</f>
        <v/>
      </c>
      <c r="H109" s="21">
        <f>IF(F109="","",F109+G109)</f>
        <v/>
      </c>
      <c r="I109" s="19" t="n"/>
      <c r="J109" s="19">
        <f>IF(I109="","",EOMONTH(I109,1))</f>
        <v/>
      </c>
      <c r="K109" s="19" t="n"/>
      <c r="L109" s="21" t="n"/>
      <c r="M109" s="18">
        <f>IF(C109="","",IF(K109&lt;&gt;"","支払済","未払"))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6" t="n"/>
      <c r="F110" s="17" t="n"/>
      <c r="G110" s="17">
        <f>IF(F110="","",F110*0.1)</f>
        <v/>
      </c>
      <c r="H110" s="17">
        <f>IF(F110="","",F110+G110)</f>
        <v/>
      </c>
      <c r="I110" s="15" t="n"/>
      <c r="J110" s="15">
        <f>IF(I110="","",EOMONTH(I110,1))</f>
        <v/>
      </c>
      <c r="K110" s="15" t="n"/>
      <c r="L110" s="17" t="n"/>
      <c r="M110" s="14">
        <f>IF(C110="","",IF(K110&lt;&gt;"","支払済","未払"))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20" t="n"/>
      <c r="F111" s="21" t="n"/>
      <c r="G111" s="21">
        <f>IF(F111="","",F111*0.1)</f>
        <v/>
      </c>
      <c r="H111" s="21">
        <f>IF(F111="","",F111+G111)</f>
        <v/>
      </c>
      <c r="I111" s="19" t="n"/>
      <c r="J111" s="19">
        <f>IF(I111="","",EOMONTH(I111,1))</f>
        <v/>
      </c>
      <c r="K111" s="19" t="n"/>
      <c r="L111" s="21" t="n"/>
      <c r="M111" s="18">
        <f>IF(C111="","",IF(K111&lt;&gt;"","支払済","未払"))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6" t="n"/>
      <c r="F112" s="17" t="n"/>
      <c r="G112" s="17">
        <f>IF(F112="","",F112*0.1)</f>
        <v/>
      </c>
      <c r="H112" s="17">
        <f>IF(F112="","",F112+G112)</f>
        <v/>
      </c>
      <c r="I112" s="15" t="n"/>
      <c r="J112" s="15">
        <f>IF(I112="","",EOMONTH(I112,1))</f>
        <v/>
      </c>
      <c r="K112" s="15" t="n"/>
      <c r="L112" s="17" t="n"/>
      <c r="M112" s="14">
        <f>IF(C112="","",IF(K112&lt;&gt;"","支払済","未払"))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20" t="n"/>
      <c r="F113" s="21" t="n"/>
      <c r="G113" s="21">
        <f>IF(F113="","",F113*0.1)</f>
        <v/>
      </c>
      <c r="H113" s="21">
        <f>IF(F113="","",F113+G113)</f>
        <v/>
      </c>
      <c r="I113" s="19" t="n"/>
      <c r="J113" s="19">
        <f>IF(I113="","",EOMONTH(I113,1))</f>
        <v/>
      </c>
      <c r="K113" s="19" t="n"/>
      <c r="L113" s="21" t="n"/>
      <c r="M113" s="18">
        <f>IF(C113="","",IF(K113&lt;&gt;"","支払済","未払"))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6" t="n"/>
      <c r="F114" s="17" t="n"/>
      <c r="G114" s="17">
        <f>IF(F114="","",F114*0.1)</f>
        <v/>
      </c>
      <c r="H114" s="17">
        <f>IF(F114="","",F114+G114)</f>
        <v/>
      </c>
      <c r="I114" s="15" t="n"/>
      <c r="J114" s="15">
        <f>IF(I114="","",EOMONTH(I114,1))</f>
        <v/>
      </c>
      <c r="K114" s="15" t="n"/>
      <c r="L114" s="17" t="n"/>
      <c r="M114" s="14">
        <f>IF(C114="","",IF(K114&lt;&gt;"","支払済","未払"))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20" t="n"/>
      <c r="F115" s="21" t="n"/>
      <c r="G115" s="21">
        <f>IF(F115="","",F115*0.1)</f>
        <v/>
      </c>
      <c r="H115" s="21">
        <f>IF(F115="","",F115+G115)</f>
        <v/>
      </c>
      <c r="I115" s="19" t="n"/>
      <c r="J115" s="19">
        <f>IF(I115="","",EOMONTH(I115,1))</f>
        <v/>
      </c>
      <c r="K115" s="19" t="n"/>
      <c r="L115" s="21" t="n"/>
      <c r="M115" s="18">
        <f>IF(C115="","",IF(K115&lt;&gt;"","支払済","未払"))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6" t="n"/>
      <c r="F116" s="17" t="n"/>
      <c r="G116" s="17">
        <f>IF(F116="","",F116*0.1)</f>
        <v/>
      </c>
      <c r="H116" s="17">
        <f>IF(F116="","",F116+G116)</f>
        <v/>
      </c>
      <c r="I116" s="15" t="n"/>
      <c r="J116" s="15">
        <f>IF(I116="","",EOMONTH(I116,1))</f>
        <v/>
      </c>
      <c r="K116" s="15" t="n"/>
      <c r="L116" s="17" t="n"/>
      <c r="M116" s="14">
        <f>IF(C116="","",IF(K116&lt;&gt;"","支払済","未払"))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20" t="n"/>
      <c r="F117" s="21" t="n"/>
      <c r="G117" s="21">
        <f>IF(F117="","",F117*0.1)</f>
        <v/>
      </c>
      <c r="H117" s="21">
        <f>IF(F117="","",F117+G117)</f>
        <v/>
      </c>
      <c r="I117" s="19" t="n"/>
      <c r="J117" s="19">
        <f>IF(I117="","",EOMONTH(I117,1))</f>
        <v/>
      </c>
      <c r="K117" s="19" t="n"/>
      <c r="L117" s="21" t="n"/>
      <c r="M117" s="18">
        <f>IF(C117="","",IF(K117&lt;&gt;"","支払済","未払"))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6" t="n"/>
      <c r="F118" s="17" t="n"/>
      <c r="G118" s="17">
        <f>IF(F118="","",F118*0.1)</f>
        <v/>
      </c>
      <c r="H118" s="17">
        <f>IF(F118="","",F118+G118)</f>
        <v/>
      </c>
      <c r="I118" s="15" t="n"/>
      <c r="J118" s="15">
        <f>IF(I118="","",EOMONTH(I118,1))</f>
        <v/>
      </c>
      <c r="K118" s="15" t="n"/>
      <c r="L118" s="17" t="n"/>
      <c r="M118" s="14">
        <f>IF(C118="","",IF(K118&lt;&gt;"","支払済","未払"))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20" t="n"/>
      <c r="F119" s="21" t="n"/>
      <c r="G119" s="21">
        <f>IF(F119="","",F119*0.1)</f>
        <v/>
      </c>
      <c r="H119" s="21">
        <f>IF(F119="","",F119+G119)</f>
        <v/>
      </c>
      <c r="I119" s="19" t="n"/>
      <c r="J119" s="19">
        <f>IF(I119="","",EOMONTH(I119,1))</f>
        <v/>
      </c>
      <c r="K119" s="19" t="n"/>
      <c r="L119" s="21" t="n"/>
      <c r="M119" s="18">
        <f>IF(C119="","",IF(K119&lt;&gt;"","支払済","未払"))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6" t="n"/>
      <c r="F120" s="17" t="n"/>
      <c r="G120" s="17">
        <f>IF(F120="","",F120*0.1)</f>
        <v/>
      </c>
      <c r="H120" s="17">
        <f>IF(F120="","",F120+G120)</f>
        <v/>
      </c>
      <c r="I120" s="15" t="n"/>
      <c r="J120" s="15">
        <f>IF(I120="","",EOMONTH(I120,1))</f>
        <v/>
      </c>
      <c r="K120" s="15" t="n"/>
      <c r="L120" s="17" t="n"/>
      <c r="M120" s="14">
        <f>IF(C120="","",IF(K120&lt;&gt;"","支払済","未払"))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20" t="n"/>
      <c r="F121" s="21" t="n"/>
      <c r="G121" s="21">
        <f>IF(F121="","",F121*0.1)</f>
        <v/>
      </c>
      <c r="H121" s="21">
        <f>IF(F121="","",F121+G121)</f>
        <v/>
      </c>
      <c r="I121" s="19" t="n"/>
      <c r="J121" s="19">
        <f>IF(I121="","",EOMONTH(I121,1))</f>
        <v/>
      </c>
      <c r="K121" s="19" t="n"/>
      <c r="L121" s="21" t="n"/>
      <c r="M121" s="18">
        <f>IF(C121="","",IF(K121&lt;&gt;"","支払済","未払"))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6" t="n"/>
      <c r="F122" s="17" t="n"/>
      <c r="G122" s="17">
        <f>IF(F122="","",F122*0.1)</f>
        <v/>
      </c>
      <c r="H122" s="17">
        <f>IF(F122="","",F122+G122)</f>
        <v/>
      </c>
      <c r="I122" s="15" t="n"/>
      <c r="J122" s="15">
        <f>IF(I122="","",EOMONTH(I122,1))</f>
        <v/>
      </c>
      <c r="K122" s="15" t="n"/>
      <c r="L122" s="17" t="n"/>
      <c r="M122" s="14">
        <f>IF(C122="","",IF(K122&lt;&gt;"","支払済","未払"))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20" t="n"/>
      <c r="F123" s="21" t="n"/>
      <c r="G123" s="21">
        <f>IF(F123="","",F123*0.1)</f>
        <v/>
      </c>
      <c r="H123" s="21">
        <f>IF(F123="","",F123+G123)</f>
        <v/>
      </c>
      <c r="I123" s="19" t="n"/>
      <c r="J123" s="19">
        <f>IF(I123="","",EOMONTH(I123,1))</f>
        <v/>
      </c>
      <c r="K123" s="19" t="n"/>
      <c r="L123" s="21" t="n"/>
      <c r="M123" s="18">
        <f>IF(C123="","",IF(K123&lt;&gt;"","支払済","未払"))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6" t="n"/>
      <c r="F124" s="17" t="n"/>
      <c r="G124" s="17">
        <f>IF(F124="","",F124*0.1)</f>
        <v/>
      </c>
      <c r="H124" s="17">
        <f>IF(F124="","",F124+G124)</f>
        <v/>
      </c>
      <c r="I124" s="15" t="n"/>
      <c r="J124" s="15">
        <f>IF(I124="","",EOMONTH(I124,1))</f>
        <v/>
      </c>
      <c r="K124" s="15" t="n"/>
      <c r="L124" s="17" t="n"/>
      <c r="M124" s="14">
        <f>IF(C124="","",IF(K124&lt;&gt;"","支払済","未払"))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20" t="n"/>
      <c r="F125" s="21" t="n"/>
      <c r="G125" s="21">
        <f>IF(F125="","",F125*0.1)</f>
        <v/>
      </c>
      <c r="H125" s="21">
        <f>IF(F125="","",F125+G125)</f>
        <v/>
      </c>
      <c r="I125" s="19" t="n"/>
      <c r="J125" s="19">
        <f>IF(I125="","",EOMONTH(I125,1))</f>
        <v/>
      </c>
      <c r="K125" s="19" t="n"/>
      <c r="L125" s="21" t="n"/>
      <c r="M125" s="18">
        <f>IF(C125="","",IF(K125&lt;&gt;"","支払済","未払"))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6" t="n"/>
      <c r="F126" s="17" t="n"/>
      <c r="G126" s="17">
        <f>IF(F126="","",F126*0.1)</f>
        <v/>
      </c>
      <c r="H126" s="17">
        <f>IF(F126="","",F126+G126)</f>
        <v/>
      </c>
      <c r="I126" s="15" t="n"/>
      <c r="J126" s="15">
        <f>IF(I126="","",EOMONTH(I126,1))</f>
        <v/>
      </c>
      <c r="K126" s="15" t="n"/>
      <c r="L126" s="17" t="n"/>
      <c r="M126" s="14">
        <f>IF(C126="","",IF(K126&lt;&gt;"","支払済","未払"))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20" t="n"/>
      <c r="F127" s="21" t="n"/>
      <c r="G127" s="21">
        <f>IF(F127="","",F127*0.1)</f>
        <v/>
      </c>
      <c r="H127" s="21">
        <f>IF(F127="","",F127+G127)</f>
        <v/>
      </c>
      <c r="I127" s="19" t="n"/>
      <c r="J127" s="19">
        <f>IF(I127="","",EOMONTH(I127,1))</f>
        <v/>
      </c>
      <c r="K127" s="19" t="n"/>
      <c r="L127" s="21" t="n"/>
      <c r="M127" s="18">
        <f>IF(C127="","",IF(K127&lt;&gt;"","支払済","未払"))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6" t="n"/>
      <c r="F128" s="17" t="n"/>
      <c r="G128" s="17">
        <f>IF(F128="","",F128*0.1)</f>
        <v/>
      </c>
      <c r="H128" s="17">
        <f>IF(F128="","",F128+G128)</f>
        <v/>
      </c>
      <c r="I128" s="15" t="n"/>
      <c r="J128" s="15">
        <f>IF(I128="","",EOMONTH(I128,1))</f>
        <v/>
      </c>
      <c r="K128" s="15" t="n"/>
      <c r="L128" s="17" t="n"/>
      <c r="M128" s="14">
        <f>IF(C128="","",IF(K128&lt;&gt;"","支払済","未払"))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20" t="n"/>
      <c r="F129" s="21" t="n"/>
      <c r="G129" s="21">
        <f>IF(F129="","",F129*0.1)</f>
        <v/>
      </c>
      <c r="H129" s="21">
        <f>IF(F129="","",F129+G129)</f>
        <v/>
      </c>
      <c r="I129" s="19" t="n"/>
      <c r="J129" s="19">
        <f>IF(I129="","",EOMONTH(I129,1))</f>
        <v/>
      </c>
      <c r="K129" s="19" t="n"/>
      <c r="L129" s="21" t="n"/>
      <c r="M129" s="18">
        <f>IF(C129="","",IF(K129&lt;&gt;"","支払済","未払"))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6" t="n"/>
      <c r="F130" s="17" t="n"/>
      <c r="G130" s="17">
        <f>IF(F130="","",F130*0.1)</f>
        <v/>
      </c>
      <c r="H130" s="17">
        <f>IF(F130="","",F130+G130)</f>
        <v/>
      </c>
      <c r="I130" s="15" t="n"/>
      <c r="J130" s="15">
        <f>IF(I130="","",EOMONTH(I130,1))</f>
        <v/>
      </c>
      <c r="K130" s="15" t="n"/>
      <c r="L130" s="17" t="n"/>
      <c r="M130" s="14">
        <f>IF(C130="","",IF(K130&lt;&gt;"","支払済","未払"))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20" t="n"/>
      <c r="F131" s="21" t="n"/>
      <c r="G131" s="21">
        <f>IF(F131="","",F131*0.1)</f>
        <v/>
      </c>
      <c r="H131" s="21">
        <f>IF(F131="","",F131+G131)</f>
        <v/>
      </c>
      <c r="I131" s="19" t="n"/>
      <c r="J131" s="19">
        <f>IF(I131="","",EOMONTH(I131,1))</f>
        <v/>
      </c>
      <c r="K131" s="19" t="n"/>
      <c r="L131" s="21" t="n"/>
      <c r="M131" s="18">
        <f>IF(C131="","",IF(K131&lt;&gt;"","支払済","未払"))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6" t="n"/>
      <c r="F132" s="17" t="n"/>
      <c r="G132" s="17">
        <f>IF(F132="","",F132*0.1)</f>
        <v/>
      </c>
      <c r="H132" s="17">
        <f>IF(F132="","",F132+G132)</f>
        <v/>
      </c>
      <c r="I132" s="15" t="n"/>
      <c r="J132" s="15">
        <f>IF(I132="","",EOMONTH(I132,1))</f>
        <v/>
      </c>
      <c r="K132" s="15" t="n"/>
      <c r="L132" s="17" t="n"/>
      <c r="M132" s="14">
        <f>IF(C132="","",IF(K132&lt;&gt;"","支払済","未払"))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20" t="n"/>
      <c r="F133" s="21" t="n"/>
      <c r="G133" s="21">
        <f>IF(F133="","",F133*0.1)</f>
        <v/>
      </c>
      <c r="H133" s="21">
        <f>IF(F133="","",F133+G133)</f>
        <v/>
      </c>
      <c r="I133" s="19" t="n"/>
      <c r="J133" s="19">
        <f>IF(I133="","",EOMONTH(I133,1))</f>
        <v/>
      </c>
      <c r="K133" s="19" t="n"/>
      <c r="L133" s="21" t="n"/>
      <c r="M133" s="18">
        <f>IF(C133="","",IF(K133&lt;&gt;"","支払済","未払"))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6" t="n"/>
      <c r="F134" s="17" t="n"/>
      <c r="G134" s="17">
        <f>IF(F134="","",F134*0.1)</f>
        <v/>
      </c>
      <c r="H134" s="17">
        <f>IF(F134="","",F134+G134)</f>
        <v/>
      </c>
      <c r="I134" s="15" t="n"/>
      <c r="J134" s="15">
        <f>IF(I134="","",EOMONTH(I134,1))</f>
        <v/>
      </c>
      <c r="K134" s="15" t="n"/>
      <c r="L134" s="17" t="n"/>
      <c r="M134" s="14">
        <f>IF(C134="","",IF(K134&lt;&gt;"","支払済","未払"))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20" t="n"/>
      <c r="F135" s="21" t="n"/>
      <c r="G135" s="21">
        <f>IF(F135="","",F135*0.1)</f>
        <v/>
      </c>
      <c r="H135" s="21">
        <f>IF(F135="","",F135+G135)</f>
        <v/>
      </c>
      <c r="I135" s="19" t="n"/>
      <c r="J135" s="19">
        <f>IF(I135="","",EOMONTH(I135,1))</f>
        <v/>
      </c>
      <c r="K135" s="19" t="n"/>
      <c r="L135" s="21" t="n"/>
      <c r="M135" s="18">
        <f>IF(C135="","",IF(K135&lt;&gt;"","支払済","未払"))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6" t="n"/>
      <c r="F136" s="17" t="n"/>
      <c r="G136" s="17">
        <f>IF(F136="","",F136*0.1)</f>
        <v/>
      </c>
      <c r="H136" s="17">
        <f>IF(F136="","",F136+G136)</f>
        <v/>
      </c>
      <c r="I136" s="15" t="n"/>
      <c r="J136" s="15">
        <f>IF(I136="","",EOMONTH(I136,1))</f>
        <v/>
      </c>
      <c r="K136" s="15" t="n"/>
      <c r="L136" s="17" t="n"/>
      <c r="M136" s="14">
        <f>IF(C136="","",IF(K136&lt;&gt;"","支払済","未払"))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20" t="n"/>
      <c r="F137" s="21" t="n"/>
      <c r="G137" s="21">
        <f>IF(F137="","",F137*0.1)</f>
        <v/>
      </c>
      <c r="H137" s="21">
        <f>IF(F137="","",F137+G137)</f>
        <v/>
      </c>
      <c r="I137" s="19" t="n"/>
      <c r="J137" s="19">
        <f>IF(I137="","",EOMONTH(I137,1))</f>
        <v/>
      </c>
      <c r="K137" s="19" t="n"/>
      <c r="L137" s="21" t="n"/>
      <c r="M137" s="18">
        <f>IF(C137="","",IF(K137&lt;&gt;"","支払済","未払"))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6" t="n"/>
      <c r="F138" s="17" t="n"/>
      <c r="G138" s="17">
        <f>IF(F138="","",F138*0.1)</f>
        <v/>
      </c>
      <c r="H138" s="17">
        <f>IF(F138="","",F138+G138)</f>
        <v/>
      </c>
      <c r="I138" s="15" t="n"/>
      <c r="J138" s="15">
        <f>IF(I138="","",EOMONTH(I138,1))</f>
        <v/>
      </c>
      <c r="K138" s="15" t="n"/>
      <c r="L138" s="17" t="n"/>
      <c r="M138" s="14">
        <f>IF(C138="","",IF(K138&lt;&gt;"","支払済","未払"))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20" t="n"/>
      <c r="F139" s="21" t="n"/>
      <c r="G139" s="21">
        <f>IF(F139="","",F139*0.1)</f>
        <v/>
      </c>
      <c r="H139" s="21">
        <f>IF(F139="","",F139+G139)</f>
        <v/>
      </c>
      <c r="I139" s="19" t="n"/>
      <c r="J139" s="19">
        <f>IF(I139="","",EOMONTH(I139,1))</f>
        <v/>
      </c>
      <c r="K139" s="19" t="n"/>
      <c r="L139" s="21" t="n"/>
      <c r="M139" s="18">
        <f>IF(C139="","",IF(K139&lt;&gt;"","支払済","未払"))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6" t="n"/>
      <c r="F140" s="17" t="n"/>
      <c r="G140" s="17">
        <f>IF(F140="","",F140*0.1)</f>
        <v/>
      </c>
      <c r="H140" s="17">
        <f>IF(F140="","",F140+G140)</f>
        <v/>
      </c>
      <c r="I140" s="15" t="n"/>
      <c r="J140" s="15">
        <f>IF(I140="","",EOMONTH(I140,1))</f>
        <v/>
      </c>
      <c r="K140" s="15" t="n"/>
      <c r="L140" s="17" t="n"/>
      <c r="M140" s="14">
        <f>IF(C140="","",IF(K140&lt;&gt;"","支払済","未払"))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20" t="n"/>
      <c r="F141" s="21" t="n"/>
      <c r="G141" s="21">
        <f>IF(F141="","",F141*0.1)</f>
        <v/>
      </c>
      <c r="H141" s="21">
        <f>IF(F141="","",F141+G141)</f>
        <v/>
      </c>
      <c r="I141" s="19" t="n"/>
      <c r="J141" s="19">
        <f>IF(I141="","",EOMONTH(I141,1))</f>
        <v/>
      </c>
      <c r="K141" s="19" t="n"/>
      <c r="L141" s="21" t="n"/>
      <c r="M141" s="18">
        <f>IF(C141="","",IF(K141&lt;&gt;"","支払済","未払"))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6" t="n"/>
      <c r="F142" s="17" t="n"/>
      <c r="G142" s="17">
        <f>IF(F142="","",F142*0.1)</f>
        <v/>
      </c>
      <c r="H142" s="17">
        <f>IF(F142="","",F142+G142)</f>
        <v/>
      </c>
      <c r="I142" s="15" t="n"/>
      <c r="J142" s="15">
        <f>IF(I142="","",EOMONTH(I142,1))</f>
        <v/>
      </c>
      <c r="K142" s="15" t="n"/>
      <c r="L142" s="17" t="n"/>
      <c r="M142" s="14">
        <f>IF(C142="","",IF(K142&lt;&gt;"","支払済","未払"))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20" t="n"/>
      <c r="F143" s="21" t="n"/>
      <c r="G143" s="21">
        <f>IF(F143="","",F143*0.1)</f>
        <v/>
      </c>
      <c r="H143" s="21">
        <f>IF(F143="","",F143+G143)</f>
        <v/>
      </c>
      <c r="I143" s="19" t="n"/>
      <c r="J143" s="19">
        <f>IF(I143="","",EOMONTH(I143,1))</f>
        <v/>
      </c>
      <c r="K143" s="19" t="n"/>
      <c r="L143" s="21" t="n"/>
      <c r="M143" s="18">
        <f>IF(C143="","",IF(K143&lt;&gt;"","支払済","未払"))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6" t="n"/>
      <c r="F144" s="17" t="n"/>
      <c r="G144" s="17">
        <f>IF(F144="","",F144*0.1)</f>
        <v/>
      </c>
      <c r="H144" s="17">
        <f>IF(F144="","",F144+G144)</f>
        <v/>
      </c>
      <c r="I144" s="15" t="n"/>
      <c r="J144" s="15">
        <f>IF(I144="","",EOMONTH(I144,1))</f>
        <v/>
      </c>
      <c r="K144" s="15" t="n"/>
      <c r="L144" s="17" t="n"/>
      <c r="M144" s="14">
        <f>IF(C144="","",IF(K144&lt;&gt;"","支払済","未払"))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20" t="n"/>
      <c r="F145" s="21" t="n"/>
      <c r="G145" s="21">
        <f>IF(F145="","",F145*0.1)</f>
        <v/>
      </c>
      <c r="H145" s="21">
        <f>IF(F145="","",F145+G145)</f>
        <v/>
      </c>
      <c r="I145" s="19" t="n"/>
      <c r="J145" s="19">
        <f>IF(I145="","",EOMONTH(I145,1))</f>
        <v/>
      </c>
      <c r="K145" s="19" t="n"/>
      <c r="L145" s="21" t="n"/>
      <c r="M145" s="18">
        <f>IF(C145="","",IF(K145&lt;&gt;"","支払済","未払"))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6" t="n"/>
      <c r="F146" s="17" t="n"/>
      <c r="G146" s="17">
        <f>IF(F146="","",F146*0.1)</f>
        <v/>
      </c>
      <c r="H146" s="17">
        <f>IF(F146="","",F146+G146)</f>
        <v/>
      </c>
      <c r="I146" s="15" t="n"/>
      <c r="J146" s="15">
        <f>IF(I146="","",EOMONTH(I146,1))</f>
        <v/>
      </c>
      <c r="K146" s="15" t="n"/>
      <c r="L146" s="17" t="n"/>
      <c r="M146" s="14">
        <f>IF(C146="","",IF(K146&lt;&gt;"","支払済","未払"))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20" t="n"/>
      <c r="F147" s="21" t="n"/>
      <c r="G147" s="21">
        <f>IF(F147="","",F147*0.1)</f>
        <v/>
      </c>
      <c r="H147" s="21">
        <f>IF(F147="","",F147+G147)</f>
        <v/>
      </c>
      <c r="I147" s="19" t="n"/>
      <c r="J147" s="19">
        <f>IF(I147="","",EOMONTH(I147,1))</f>
        <v/>
      </c>
      <c r="K147" s="19" t="n"/>
      <c r="L147" s="21" t="n"/>
      <c r="M147" s="18">
        <f>IF(C147="","",IF(K147&lt;&gt;"","支払済","未払"))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6" t="n"/>
      <c r="F148" s="17" t="n"/>
      <c r="G148" s="17">
        <f>IF(F148="","",F148*0.1)</f>
        <v/>
      </c>
      <c r="H148" s="17">
        <f>IF(F148="","",F148+G148)</f>
        <v/>
      </c>
      <c r="I148" s="15" t="n"/>
      <c r="J148" s="15">
        <f>IF(I148="","",EOMONTH(I148,1))</f>
        <v/>
      </c>
      <c r="K148" s="15" t="n"/>
      <c r="L148" s="17" t="n"/>
      <c r="M148" s="14">
        <f>IF(C148="","",IF(K148&lt;&gt;"","支払済","未払"))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20" t="n"/>
      <c r="F149" s="21" t="n"/>
      <c r="G149" s="21">
        <f>IF(F149="","",F149*0.1)</f>
        <v/>
      </c>
      <c r="H149" s="21">
        <f>IF(F149="","",F149+G149)</f>
        <v/>
      </c>
      <c r="I149" s="19" t="n"/>
      <c r="J149" s="19">
        <f>IF(I149="","",EOMONTH(I149,1))</f>
        <v/>
      </c>
      <c r="K149" s="19" t="n"/>
      <c r="L149" s="21" t="n"/>
      <c r="M149" s="18">
        <f>IF(C149="","",IF(K149&lt;&gt;"","支払済","未払"))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6" t="n"/>
      <c r="F150" s="17" t="n"/>
      <c r="G150" s="17">
        <f>IF(F150="","",F150*0.1)</f>
        <v/>
      </c>
      <c r="H150" s="17">
        <f>IF(F150="","",F150+G150)</f>
        <v/>
      </c>
      <c r="I150" s="15" t="n"/>
      <c r="J150" s="15">
        <f>IF(I150="","",EOMONTH(I150,1))</f>
        <v/>
      </c>
      <c r="K150" s="15" t="n"/>
      <c r="L150" s="17" t="n"/>
      <c r="M150" s="14">
        <f>IF(C150="","",IF(K150&lt;&gt;"","支払済","未払"))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20" t="n"/>
      <c r="F151" s="21" t="n"/>
      <c r="G151" s="21">
        <f>IF(F151="","",F151*0.1)</f>
        <v/>
      </c>
      <c r="H151" s="21">
        <f>IF(F151="","",F151+G151)</f>
        <v/>
      </c>
      <c r="I151" s="19" t="n"/>
      <c r="J151" s="19">
        <f>IF(I151="","",EOMONTH(I151,1))</f>
        <v/>
      </c>
      <c r="K151" s="19" t="n"/>
      <c r="L151" s="21" t="n"/>
      <c r="M151" s="18">
        <f>IF(C151="","",IF(K151&lt;&gt;"","支払済","未払"))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6" t="n"/>
      <c r="F152" s="17" t="n"/>
      <c r="G152" s="17">
        <f>IF(F152="","",F152*0.1)</f>
        <v/>
      </c>
      <c r="H152" s="17">
        <f>IF(F152="","",F152+G152)</f>
        <v/>
      </c>
      <c r="I152" s="15" t="n"/>
      <c r="J152" s="15">
        <f>IF(I152="","",EOMONTH(I152,1))</f>
        <v/>
      </c>
      <c r="K152" s="15" t="n"/>
      <c r="L152" s="17" t="n"/>
      <c r="M152" s="14">
        <f>IF(C152="","",IF(K152&lt;&gt;"","支払済","未払"))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20" t="n"/>
      <c r="F153" s="21" t="n"/>
      <c r="G153" s="21">
        <f>IF(F153="","",F153*0.1)</f>
        <v/>
      </c>
      <c r="H153" s="21">
        <f>IF(F153="","",F153+G153)</f>
        <v/>
      </c>
      <c r="I153" s="19" t="n"/>
      <c r="J153" s="19">
        <f>IF(I153="","",EOMONTH(I153,1))</f>
        <v/>
      </c>
      <c r="K153" s="19" t="n"/>
      <c r="L153" s="21" t="n"/>
      <c r="M153" s="18">
        <f>IF(C153="","",IF(K153&lt;&gt;"","支払済","未払"))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6" t="n"/>
      <c r="F154" s="17" t="n"/>
      <c r="G154" s="17">
        <f>IF(F154="","",F154*0.1)</f>
        <v/>
      </c>
      <c r="H154" s="17">
        <f>IF(F154="","",F154+G154)</f>
        <v/>
      </c>
      <c r="I154" s="15" t="n"/>
      <c r="J154" s="15">
        <f>IF(I154="","",EOMONTH(I154,1))</f>
        <v/>
      </c>
      <c r="K154" s="15" t="n"/>
      <c r="L154" s="17" t="n"/>
      <c r="M154" s="14">
        <f>IF(C154="","",IF(K154&lt;&gt;"","支払済","未払"))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20" t="n"/>
      <c r="F155" s="21" t="n"/>
      <c r="G155" s="21">
        <f>IF(F155="","",F155*0.1)</f>
        <v/>
      </c>
      <c r="H155" s="21">
        <f>IF(F155="","",F155+G155)</f>
        <v/>
      </c>
      <c r="I155" s="19" t="n"/>
      <c r="J155" s="19">
        <f>IF(I155="","",EOMONTH(I155,1))</f>
        <v/>
      </c>
      <c r="K155" s="19" t="n"/>
      <c r="L155" s="21" t="n"/>
      <c r="M155" s="18">
        <f>IF(C155="","",IF(K155&lt;&gt;"","支払済","未払"))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6" t="n"/>
      <c r="F156" s="17" t="n"/>
      <c r="G156" s="17">
        <f>IF(F156="","",F156*0.1)</f>
        <v/>
      </c>
      <c r="H156" s="17">
        <f>IF(F156="","",F156+G156)</f>
        <v/>
      </c>
      <c r="I156" s="15" t="n"/>
      <c r="J156" s="15">
        <f>IF(I156="","",EOMONTH(I156,1))</f>
        <v/>
      </c>
      <c r="K156" s="15" t="n"/>
      <c r="L156" s="17" t="n"/>
      <c r="M156" s="14">
        <f>IF(C156="","",IF(K156&lt;&gt;"","支払済","未払"))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20" t="n"/>
      <c r="F157" s="21" t="n"/>
      <c r="G157" s="21">
        <f>IF(F157="","",F157*0.1)</f>
        <v/>
      </c>
      <c r="H157" s="21">
        <f>IF(F157="","",F157+G157)</f>
        <v/>
      </c>
      <c r="I157" s="19" t="n"/>
      <c r="J157" s="19">
        <f>IF(I157="","",EOMONTH(I157,1))</f>
        <v/>
      </c>
      <c r="K157" s="19" t="n"/>
      <c r="L157" s="21" t="n"/>
      <c r="M157" s="18">
        <f>IF(C157="","",IF(K157&lt;&gt;"","支払済","未払"))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6" t="n"/>
      <c r="F158" s="17" t="n"/>
      <c r="G158" s="17">
        <f>IF(F158="","",F158*0.1)</f>
        <v/>
      </c>
      <c r="H158" s="17">
        <f>IF(F158="","",F158+G158)</f>
        <v/>
      </c>
      <c r="I158" s="15" t="n"/>
      <c r="J158" s="15">
        <f>IF(I158="","",EOMONTH(I158,1))</f>
        <v/>
      </c>
      <c r="K158" s="15" t="n"/>
      <c r="L158" s="17" t="n"/>
      <c r="M158" s="14">
        <f>IF(C158="","",IF(K158&lt;&gt;"","支払済","未払"))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20" t="n"/>
      <c r="F159" s="21" t="n"/>
      <c r="G159" s="21">
        <f>IF(F159="","",F159*0.1)</f>
        <v/>
      </c>
      <c r="H159" s="21">
        <f>IF(F159="","",F159+G159)</f>
        <v/>
      </c>
      <c r="I159" s="19" t="n"/>
      <c r="J159" s="19">
        <f>IF(I159="","",EOMONTH(I159,1))</f>
        <v/>
      </c>
      <c r="K159" s="19" t="n"/>
      <c r="L159" s="21" t="n"/>
      <c r="M159" s="18">
        <f>IF(C159="","",IF(K159&lt;&gt;"","支払済","未払"))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6" t="n"/>
      <c r="F160" s="17" t="n"/>
      <c r="G160" s="17">
        <f>IF(F160="","",F160*0.1)</f>
        <v/>
      </c>
      <c r="H160" s="17">
        <f>IF(F160="","",F160+G160)</f>
        <v/>
      </c>
      <c r="I160" s="15" t="n"/>
      <c r="J160" s="15">
        <f>IF(I160="","",EOMONTH(I160,1))</f>
        <v/>
      </c>
      <c r="K160" s="15" t="n"/>
      <c r="L160" s="17" t="n"/>
      <c r="M160" s="14">
        <f>IF(C160="","",IF(K160&lt;&gt;"","支払済","未払"))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20" t="n"/>
      <c r="F161" s="21" t="n"/>
      <c r="G161" s="21">
        <f>IF(F161="","",F161*0.1)</f>
        <v/>
      </c>
      <c r="H161" s="21">
        <f>IF(F161="","",F161+G161)</f>
        <v/>
      </c>
      <c r="I161" s="19" t="n"/>
      <c r="J161" s="19">
        <f>IF(I161="","",EOMONTH(I161,1))</f>
        <v/>
      </c>
      <c r="K161" s="19" t="n"/>
      <c r="L161" s="21" t="n"/>
      <c r="M161" s="18">
        <f>IF(C161="","",IF(K161&lt;&gt;"","支払済","未払"))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6" t="n"/>
      <c r="F162" s="17" t="n"/>
      <c r="G162" s="17">
        <f>IF(F162="","",F162*0.1)</f>
        <v/>
      </c>
      <c r="H162" s="17">
        <f>IF(F162="","",F162+G162)</f>
        <v/>
      </c>
      <c r="I162" s="15" t="n"/>
      <c r="J162" s="15">
        <f>IF(I162="","",EOMONTH(I162,1))</f>
        <v/>
      </c>
      <c r="K162" s="15" t="n"/>
      <c r="L162" s="17" t="n"/>
      <c r="M162" s="14">
        <f>IF(C162="","",IF(K162&lt;&gt;"","支払済","未払"))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20" t="n"/>
      <c r="F163" s="21" t="n"/>
      <c r="G163" s="21">
        <f>IF(F163="","",F163*0.1)</f>
        <v/>
      </c>
      <c r="H163" s="21">
        <f>IF(F163="","",F163+G163)</f>
        <v/>
      </c>
      <c r="I163" s="19" t="n"/>
      <c r="J163" s="19">
        <f>IF(I163="","",EOMONTH(I163,1))</f>
        <v/>
      </c>
      <c r="K163" s="19" t="n"/>
      <c r="L163" s="21" t="n"/>
      <c r="M163" s="18">
        <f>IF(C163="","",IF(K163&lt;&gt;"","支払済","未払"))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6" t="n"/>
      <c r="F164" s="17" t="n"/>
      <c r="G164" s="17">
        <f>IF(F164="","",F164*0.1)</f>
        <v/>
      </c>
      <c r="H164" s="17">
        <f>IF(F164="","",F164+G164)</f>
        <v/>
      </c>
      <c r="I164" s="15" t="n"/>
      <c r="J164" s="15">
        <f>IF(I164="","",EOMONTH(I164,1))</f>
        <v/>
      </c>
      <c r="K164" s="15" t="n"/>
      <c r="L164" s="17" t="n"/>
      <c r="M164" s="14">
        <f>IF(C164="","",IF(K164&lt;&gt;"","支払済","未払"))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20" t="n"/>
      <c r="F165" s="21" t="n"/>
      <c r="G165" s="21">
        <f>IF(F165="","",F165*0.1)</f>
        <v/>
      </c>
      <c r="H165" s="21">
        <f>IF(F165="","",F165+G165)</f>
        <v/>
      </c>
      <c r="I165" s="19" t="n"/>
      <c r="J165" s="19">
        <f>IF(I165="","",EOMONTH(I165,1))</f>
        <v/>
      </c>
      <c r="K165" s="19" t="n"/>
      <c r="L165" s="21" t="n"/>
      <c r="M165" s="18">
        <f>IF(C165="","",IF(K165&lt;&gt;"","支払済","未払"))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6" t="n"/>
      <c r="F166" s="17" t="n"/>
      <c r="G166" s="17">
        <f>IF(F166="","",F166*0.1)</f>
        <v/>
      </c>
      <c r="H166" s="17">
        <f>IF(F166="","",F166+G166)</f>
        <v/>
      </c>
      <c r="I166" s="15" t="n"/>
      <c r="J166" s="15">
        <f>IF(I166="","",EOMONTH(I166,1))</f>
        <v/>
      </c>
      <c r="K166" s="15" t="n"/>
      <c r="L166" s="17" t="n"/>
      <c r="M166" s="14">
        <f>IF(C166="","",IF(K166&lt;&gt;"","支払済","未払"))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20" t="n"/>
      <c r="F167" s="21" t="n"/>
      <c r="G167" s="21">
        <f>IF(F167="","",F167*0.1)</f>
        <v/>
      </c>
      <c r="H167" s="21">
        <f>IF(F167="","",F167+G167)</f>
        <v/>
      </c>
      <c r="I167" s="19" t="n"/>
      <c r="J167" s="19">
        <f>IF(I167="","",EOMONTH(I167,1))</f>
        <v/>
      </c>
      <c r="K167" s="19" t="n"/>
      <c r="L167" s="21" t="n"/>
      <c r="M167" s="18">
        <f>IF(C167="","",IF(K167&lt;&gt;"","支払済","未払"))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6" t="n"/>
      <c r="F168" s="17" t="n"/>
      <c r="G168" s="17">
        <f>IF(F168="","",F168*0.1)</f>
        <v/>
      </c>
      <c r="H168" s="17">
        <f>IF(F168="","",F168+G168)</f>
        <v/>
      </c>
      <c r="I168" s="15" t="n"/>
      <c r="J168" s="15">
        <f>IF(I168="","",EOMONTH(I168,1))</f>
        <v/>
      </c>
      <c r="K168" s="15" t="n"/>
      <c r="L168" s="17" t="n"/>
      <c r="M168" s="14">
        <f>IF(C168="","",IF(K168&lt;&gt;"","支払済","未払"))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20" t="n"/>
      <c r="F169" s="21" t="n"/>
      <c r="G169" s="21">
        <f>IF(F169="","",F169*0.1)</f>
        <v/>
      </c>
      <c r="H169" s="21">
        <f>IF(F169="","",F169+G169)</f>
        <v/>
      </c>
      <c r="I169" s="19" t="n"/>
      <c r="J169" s="19">
        <f>IF(I169="","",EOMONTH(I169,1))</f>
        <v/>
      </c>
      <c r="K169" s="19" t="n"/>
      <c r="L169" s="21" t="n"/>
      <c r="M169" s="18">
        <f>IF(C169="","",IF(K169&lt;&gt;"","支払済","未払"))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6" t="n"/>
      <c r="F170" s="17" t="n"/>
      <c r="G170" s="17">
        <f>IF(F170="","",F170*0.1)</f>
        <v/>
      </c>
      <c r="H170" s="17">
        <f>IF(F170="","",F170+G170)</f>
        <v/>
      </c>
      <c r="I170" s="15" t="n"/>
      <c r="J170" s="15">
        <f>IF(I170="","",EOMONTH(I170,1))</f>
        <v/>
      </c>
      <c r="K170" s="15" t="n"/>
      <c r="L170" s="17" t="n"/>
      <c r="M170" s="14">
        <f>IF(C170="","",IF(K170&lt;&gt;"","支払済","未払"))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20" t="n"/>
      <c r="F171" s="21" t="n"/>
      <c r="G171" s="21">
        <f>IF(F171="","",F171*0.1)</f>
        <v/>
      </c>
      <c r="H171" s="21">
        <f>IF(F171="","",F171+G171)</f>
        <v/>
      </c>
      <c r="I171" s="19" t="n"/>
      <c r="J171" s="19">
        <f>IF(I171="","",EOMONTH(I171,1))</f>
        <v/>
      </c>
      <c r="K171" s="19" t="n"/>
      <c r="L171" s="21" t="n"/>
      <c r="M171" s="18">
        <f>IF(C171="","",IF(K171&lt;&gt;"","支払済","未払"))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6" t="n"/>
      <c r="F172" s="17" t="n"/>
      <c r="G172" s="17">
        <f>IF(F172="","",F172*0.1)</f>
        <v/>
      </c>
      <c r="H172" s="17">
        <f>IF(F172="","",F172+G172)</f>
        <v/>
      </c>
      <c r="I172" s="15" t="n"/>
      <c r="J172" s="15">
        <f>IF(I172="","",EOMONTH(I172,1))</f>
        <v/>
      </c>
      <c r="K172" s="15" t="n"/>
      <c r="L172" s="17" t="n"/>
      <c r="M172" s="14">
        <f>IF(C172="","",IF(K172&lt;&gt;"","支払済","未払"))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20" t="n"/>
      <c r="F173" s="21" t="n"/>
      <c r="G173" s="21">
        <f>IF(F173="","",F173*0.1)</f>
        <v/>
      </c>
      <c r="H173" s="21">
        <f>IF(F173="","",F173+G173)</f>
        <v/>
      </c>
      <c r="I173" s="19" t="n"/>
      <c r="J173" s="19">
        <f>IF(I173="","",EOMONTH(I173,1))</f>
        <v/>
      </c>
      <c r="K173" s="19" t="n"/>
      <c r="L173" s="21" t="n"/>
      <c r="M173" s="18">
        <f>IF(C173="","",IF(K173&lt;&gt;"","支払済","未払"))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6" t="n"/>
      <c r="F174" s="17" t="n"/>
      <c r="G174" s="17">
        <f>IF(F174="","",F174*0.1)</f>
        <v/>
      </c>
      <c r="H174" s="17">
        <f>IF(F174="","",F174+G174)</f>
        <v/>
      </c>
      <c r="I174" s="15" t="n"/>
      <c r="J174" s="15">
        <f>IF(I174="","",EOMONTH(I174,1))</f>
        <v/>
      </c>
      <c r="K174" s="15" t="n"/>
      <c r="L174" s="17" t="n"/>
      <c r="M174" s="14">
        <f>IF(C174="","",IF(K174&lt;&gt;"","支払済","未払"))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20" t="n"/>
      <c r="F175" s="21" t="n"/>
      <c r="G175" s="21">
        <f>IF(F175="","",F175*0.1)</f>
        <v/>
      </c>
      <c r="H175" s="21">
        <f>IF(F175="","",F175+G175)</f>
        <v/>
      </c>
      <c r="I175" s="19" t="n"/>
      <c r="J175" s="19">
        <f>IF(I175="","",EOMONTH(I175,1))</f>
        <v/>
      </c>
      <c r="K175" s="19" t="n"/>
      <c r="L175" s="21" t="n"/>
      <c r="M175" s="18">
        <f>IF(C175="","",IF(K175&lt;&gt;"","支払済","未払"))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6" t="n"/>
      <c r="F176" s="17" t="n"/>
      <c r="G176" s="17">
        <f>IF(F176="","",F176*0.1)</f>
        <v/>
      </c>
      <c r="H176" s="17">
        <f>IF(F176="","",F176+G176)</f>
        <v/>
      </c>
      <c r="I176" s="15" t="n"/>
      <c r="J176" s="15">
        <f>IF(I176="","",EOMONTH(I176,1))</f>
        <v/>
      </c>
      <c r="K176" s="15" t="n"/>
      <c r="L176" s="17" t="n"/>
      <c r="M176" s="14">
        <f>IF(C176="","",IF(K176&lt;&gt;"","支払済","未払"))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20" t="n"/>
      <c r="F177" s="21" t="n"/>
      <c r="G177" s="21">
        <f>IF(F177="","",F177*0.1)</f>
        <v/>
      </c>
      <c r="H177" s="21">
        <f>IF(F177="","",F177+G177)</f>
        <v/>
      </c>
      <c r="I177" s="19" t="n"/>
      <c r="J177" s="19">
        <f>IF(I177="","",EOMONTH(I177,1))</f>
        <v/>
      </c>
      <c r="K177" s="19" t="n"/>
      <c r="L177" s="21" t="n"/>
      <c r="M177" s="18">
        <f>IF(C177="","",IF(K177&lt;&gt;"","支払済","未払"))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6" t="n"/>
      <c r="F178" s="17" t="n"/>
      <c r="G178" s="17">
        <f>IF(F178="","",F178*0.1)</f>
        <v/>
      </c>
      <c r="H178" s="17">
        <f>IF(F178="","",F178+G178)</f>
        <v/>
      </c>
      <c r="I178" s="15" t="n"/>
      <c r="J178" s="15">
        <f>IF(I178="","",EOMONTH(I178,1))</f>
        <v/>
      </c>
      <c r="K178" s="15" t="n"/>
      <c r="L178" s="17" t="n"/>
      <c r="M178" s="14">
        <f>IF(C178="","",IF(K178&lt;&gt;"","支払済","未払"))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20" t="n"/>
      <c r="F179" s="21" t="n"/>
      <c r="G179" s="21">
        <f>IF(F179="","",F179*0.1)</f>
        <v/>
      </c>
      <c r="H179" s="21">
        <f>IF(F179="","",F179+G179)</f>
        <v/>
      </c>
      <c r="I179" s="19" t="n"/>
      <c r="J179" s="19">
        <f>IF(I179="","",EOMONTH(I179,1))</f>
        <v/>
      </c>
      <c r="K179" s="19" t="n"/>
      <c r="L179" s="21" t="n"/>
      <c r="M179" s="18">
        <f>IF(C179="","",IF(K179&lt;&gt;"","支払済","未払"))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6" t="n"/>
      <c r="F180" s="17" t="n"/>
      <c r="G180" s="17">
        <f>IF(F180="","",F180*0.1)</f>
        <v/>
      </c>
      <c r="H180" s="17">
        <f>IF(F180="","",F180+G180)</f>
        <v/>
      </c>
      <c r="I180" s="15" t="n"/>
      <c r="J180" s="15">
        <f>IF(I180="","",EOMONTH(I180,1))</f>
        <v/>
      </c>
      <c r="K180" s="15" t="n"/>
      <c r="L180" s="17" t="n"/>
      <c r="M180" s="14">
        <f>IF(C180="","",IF(K180&lt;&gt;"","支払済","未払"))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20" t="n"/>
      <c r="F181" s="21" t="n"/>
      <c r="G181" s="21">
        <f>IF(F181="","",F181*0.1)</f>
        <v/>
      </c>
      <c r="H181" s="21">
        <f>IF(F181="","",F181+G181)</f>
        <v/>
      </c>
      <c r="I181" s="19" t="n"/>
      <c r="J181" s="19">
        <f>IF(I181="","",EOMONTH(I181,1))</f>
        <v/>
      </c>
      <c r="K181" s="19" t="n"/>
      <c r="L181" s="21" t="n"/>
      <c r="M181" s="18">
        <f>IF(C181="","",IF(K181&lt;&gt;"","支払済","未払"))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6" t="n"/>
      <c r="F182" s="17" t="n"/>
      <c r="G182" s="17">
        <f>IF(F182="","",F182*0.1)</f>
        <v/>
      </c>
      <c r="H182" s="17">
        <f>IF(F182="","",F182+G182)</f>
        <v/>
      </c>
      <c r="I182" s="15" t="n"/>
      <c r="J182" s="15">
        <f>IF(I182="","",EOMONTH(I182,1))</f>
        <v/>
      </c>
      <c r="K182" s="15" t="n"/>
      <c r="L182" s="17" t="n"/>
      <c r="M182" s="14">
        <f>IF(C182="","",IF(K182&lt;&gt;"","支払済","未払"))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20" t="n"/>
      <c r="F183" s="21" t="n"/>
      <c r="G183" s="21">
        <f>IF(F183="","",F183*0.1)</f>
        <v/>
      </c>
      <c r="H183" s="21">
        <f>IF(F183="","",F183+G183)</f>
        <v/>
      </c>
      <c r="I183" s="19" t="n"/>
      <c r="J183" s="19">
        <f>IF(I183="","",EOMONTH(I183,1))</f>
        <v/>
      </c>
      <c r="K183" s="19" t="n"/>
      <c r="L183" s="21" t="n"/>
      <c r="M183" s="18">
        <f>IF(C183="","",IF(K183&lt;&gt;"","支払済","未払"))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6" t="n"/>
      <c r="F184" s="17" t="n"/>
      <c r="G184" s="17">
        <f>IF(F184="","",F184*0.1)</f>
        <v/>
      </c>
      <c r="H184" s="17">
        <f>IF(F184="","",F184+G184)</f>
        <v/>
      </c>
      <c r="I184" s="15" t="n"/>
      <c r="J184" s="15">
        <f>IF(I184="","",EOMONTH(I184,1))</f>
        <v/>
      </c>
      <c r="K184" s="15" t="n"/>
      <c r="L184" s="17" t="n"/>
      <c r="M184" s="14">
        <f>IF(C184="","",IF(K184&lt;&gt;"","支払済","未払"))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20" t="n"/>
      <c r="F185" s="21" t="n"/>
      <c r="G185" s="21">
        <f>IF(F185="","",F185*0.1)</f>
        <v/>
      </c>
      <c r="H185" s="21">
        <f>IF(F185="","",F185+G185)</f>
        <v/>
      </c>
      <c r="I185" s="19" t="n"/>
      <c r="J185" s="19">
        <f>IF(I185="","",EOMONTH(I185,1))</f>
        <v/>
      </c>
      <c r="K185" s="19" t="n"/>
      <c r="L185" s="21" t="n"/>
      <c r="M185" s="18">
        <f>IF(C185="","",IF(K185&lt;&gt;"","支払済","未払"))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6" t="n"/>
      <c r="F186" s="17" t="n"/>
      <c r="G186" s="17">
        <f>IF(F186="","",F186*0.1)</f>
        <v/>
      </c>
      <c r="H186" s="17">
        <f>IF(F186="","",F186+G186)</f>
        <v/>
      </c>
      <c r="I186" s="15" t="n"/>
      <c r="J186" s="15">
        <f>IF(I186="","",EOMONTH(I186,1))</f>
        <v/>
      </c>
      <c r="K186" s="15" t="n"/>
      <c r="L186" s="17" t="n"/>
      <c r="M186" s="14">
        <f>IF(C186="","",IF(K186&lt;&gt;"","支払済","未払"))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20" t="n"/>
      <c r="F187" s="21" t="n"/>
      <c r="G187" s="21">
        <f>IF(F187="","",F187*0.1)</f>
        <v/>
      </c>
      <c r="H187" s="21">
        <f>IF(F187="","",F187+G187)</f>
        <v/>
      </c>
      <c r="I187" s="19" t="n"/>
      <c r="J187" s="19">
        <f>IF(I187="","",EOMONTH(I187,1))</f>
        <v/>
      </c>
      <c r="K187" s="19" t="n"/>
      <c r="L187" s="21" t="n"/>
      <c r="M187" s="18">
        <f>IF(C187="","",IF(K187&lt;&gt;"","支払済","未払"))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6" t="n"/>
      <c r="F188" s="17" t="n"/>
      <c r="G188" s="17">
        <f>IF(F188="","",F188*0.1)</f>
        <v/>
      </c>
      <c r="H188" s="17">
        <f>IF(F188="","",F188+G188)</f>
        <v/>
      </c>
      <c r="I188" s="15" t="n"/>
      <c r="J188" s="15">
        <f>IF(I188="","",EOMONTH(I188,1))</f>
        <v/>
      </c>
      <c r="K188" s="15" t="n"/>
      <c r="L188" s="17" t="n"/>
      <c r="M188" s="14">
        <f>IF(C188="","",IF(K188&lt;&gt;"","支払済","未払"))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20" t="n"/>
      <c r="F189" s="21" t="n"/>
      <c r="G189" s="21">
        <f>IF(F189="","",F189*0.1)</f>
        <v/>
      </c>
      <c r="H189" s="21">
        <f>IF(F189="","",F189+G189)</f>
        <v/>
      </c>
      <c r="I189" s="19" t="n"/>
      <c r="J189" s="19">
        <f>IF(I189="","",EOMONTH(I189,1))</f>
        <v/>
      </c>
      <c r="K189" s="19" t="n"/>
      <c r="L189" s="21" t="n"/>
      <c r="M189" s="18">
        <f>IF(C189="","",IF(K189&lt;&gt;"","支払済","未払"))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6" t="n"/>
      <c r="F190" s="17" t="n"/>
      <c r="G190" s="17">
        <f>IF(F190="","",F190*0.1)</f>
        <v/>
      </c>
      <c r="H190" s="17">
        <f>IF(F190="","",F190+G190)</f>
        <v/>
      </c>
      <c r="I190" s="15" t="n"/>
      <c r="J190" s="15">
        <f>IF(I190="","",EOMONTH(I190,1))</f>
        <v/>
      </c>
      <c r="K190" s="15" t="n"/>
      <c r="L190" s="17" t="n"/>
      <c r="M190" s="14">
        <f>IF(C190="","",IF(K190&lt;&gt;"","支払済","未払"))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20" t="n"/>
      <c r="F191" s="21" t="n"/>
      <c r="G191" s="21">
        <f>IF(F191="","",F191*0.1)</f>
        <v/>
      </c>
      <c r="H191" s="21">
        <f>IF(F191="","",F191+G191)</f>
        <v/>
      </c>
      <c r="I191" s="19" t="n"/>
      <c r="J191" s="19">
        <f>IF(I191="","",EOMONTH(I191,1))</f>
        <v/>
      </c>
      <c r="K191" s="19" t="n"/>
      <c r="L191" s="21" t="n"/>
      <c r="M191" s="18">
        <f>IF(C191="","",IF(K191&lt;&gt;"","支払済","未払"))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6" t="n"/>
      <c r="F192" s="17" t="n"/>
      <c r="G192" s="17">
        <f>IF(F192="","",F192*0.1)</f>
        <v/>
      </c>
      <c r="H192" s="17">
        <f>IF(F192="","",F192+G192)</f>
        <v/>
      </c>
      <c r="I192" s="15" t="n"/>
      <c r="J192" s="15">
        <f>IF(I192="","",EOMONTH(I192,1))</f>
        <v/>
      </c>
      <c r="K192" s="15" t="n"/>
      <c r="L192" s="17" t="n"/>
      <c r="M192" s="14">
        <f>IF(C192="","",IF(K192&lt;&gt;"","支払済","未払"))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20" t="n"/>
      <c r="F193" s="21" t="n"/>
      <c r="G193" s="21">
        <f>IF(F193="","",F193*0.1)</f>
        <v/>
      </c>
      <c r="H193" s="21">
        <f>IF(F193="","",F193+G193)</f>
        <v/>
      </c>
      <c r="I193" s="19" t="n"/>
      <c r="J193" s="19">
        <f>IF(I193="","",EOMONTH(I193,1))</f>
        <v/>
      </c>
      <c r="K193" s="19" t="n"/>
      <c r="L193" s="21" t="n"/>
      <c r="M193" s="18">
        <f>IF(C193="","",IF(K193&lt;&gt;"","支払済","未払"))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6" t="n"/>
      <c r="F194" s="17" t="n"/>
      <c r="G194" s="17">
        <f>IF(F194="","",F194*0.1)</f>
        <v/>
      </c>
      <c r="H194" s="17">
        <f>IF(F194="","",F194+G194)</f>
        <v/>
      </c>
      <c r="I194" s="15" t="n"/>
      <c r="J194" s="15">
        <f>IF(I194="","",EOMONTH(I194,1))</f>
        <v/>
      </c>
      <c r="K194" s="15" t="n"/>
      <c r="L194" s="17" t="n"/>
      <c r="M194" s="14">
        <f>IF(C194="","",IF(K194&lt;&gt;"","支払済","未払"))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20" t="n"/>
      <c r="F195" s="21" t="n"/>
      <c r="G195" s="21">
        <f>IF(F195="","",F195*0.1)</f>
        <v/>
      </c>
      <c r="H195" s="21">
        <f>IF(F195="","",F195+G195)</f>
        <v/>
      </c>
      <c r="I195" s="19" t="n"/>
      <c r="J195" s="19">
        <f>IF(I195="","",EOMONTH(I195,1))</f>
        <v/>
      </c>
      <c r="K195" s="19" t="n"/>
      <c r="L195" s="21" t="n"/>
      <c r="M195" s="18">
        <f>IF(C195="","",IF(K195&lt;&gt;"","支払済","未払"))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6" t="n"/>
      <c r="F196" s="17" t="n"/>
      <c r="G196" s="17">
        <f>IF(F196="","",F196*0.1)</f>
        <v/>
      </c>
      <c r="H196" s="17">
        <f>IF(F196="","",F196+G196)</f>
        <v/>
      </c>
      <c r="I196" s="15" t="n"/>
      <c r="J196" s="15">
        <f>IF(I196="","",EOMONTH(I196,1))</f>
        <v/>
      </c>
      <c r="K196" s="15" t="n"/>
      <c r="L196" s="17" t="n"/>
      <c r="M196" s="14">
        <f>IF(C196="","",IF(K196&lt;&gt;"","支払済","未払"))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20" t="n"/>
      <c r="F197" s="21" t="n"/>
      <c r="G197" s="21">
        <f>IF(F197="","",F197*0.1)</f>
        <v/>
      </c>
      <c r="H197" s="21">
        <f>IF(F197="","",F197+G197)</f>
        <v/>
      </c>
      <c r="I197" s="19" t="n"/>
      <c r="J197" s="19">
        <f>IF(I197="","",EOMONTH(I197,1))</f>
        <v/>
      </c>
      <c r="K197" s="19" t="n"/>
      <c r="L197" s="21" t="n"/>
      <c r="M197" s="18">
        <f>IF(C197="","",IF(K197&lt;&gt;"","支払済","未払"))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6" t="n"/>
      <c r="F198" s="17" t="n"/>
      <c r="G198" s="17">
        <f>IF(F198="","",F198*0.1)</f>
        <v/>
      </c>
      <c r="H198" s="17">
        <f>IF(F198="","",F198+G198)</f>
        <v/>
      </c>
      <c r="I198" s="15" t="n"/>
      <c r="J198" s="15">
        <f>IF(I198="","",EOMONTH(I198,1))</f>
        <v/>
      </c>
      <c r="K198" s="15" t="n"/>
      <c r="L198" s="17" t="n"/>
      <c r="M198" s="14">
        <f>IF(C198="","",IF(K198&lt;&gt;"","支払済","未払"))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20" t="n"/>
      <c r="F199" s="21" t="n"/>
      <c r="G199" s="21">
        <f>IF(F199="","",F199*0.1)</f>
        <v/>
      </c>
      <c r="H199" s="21">
        <f>IF(F199="","",F199+G199)</f>
        <v/>
      </c>
      <c r="I199" s="19" t="n"/>
      <c r="J199" s="19">
        <f>IF(I199="","",EOMONTH(I199,1))</f>
        <v/>
      </c>
      <c r="K199" s="19" t="n"/>
      <c r="L199" s="21" t="n"/>
      <c r="M199" s="18">
        <f>IF(C199="","",IF(K199&lt;&gt;"","支払済","未払"))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6" t="n"/>
      <c r="F200" s="17" t="n"/>
      <c r="G200" s="17">
        <f>IF(F200="","",F200*0.1)</f>
        <v/>
      </c>
      <c r="H200" s="17">
        <f>IF(F200="","",F200+G200)</f>
        <v/>
      </c>
      <c r="I200" s="15" t="n"/>
      <c r="J200" s="15">
        <f>IF(I200="","",EOMONTH(I200,1))</f>
        <v/>
      </c>
      <c r="K200" s="15" t="n"/>
      <c r="L200" s="17" t="n"/>
      <c r="M200" s="14">
        <f>IF(C200="","",IF(K200&lt;&gt;"","支払済","未払"))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20" t="n"/>
      <c r="F201" s="21" t="n"/>
      <c r="G201" s="21">
        <f>IF(F201="","",F201*0.1)</f>
        <v/>
      </c>
      <c r="H201" s="21">
        <f>IF(F201="","",F201+G201)</f>
        <v/>
      </c>
      <c r="I201" s="19" t="n"/>
      <c r="J201" s="19">
        <f>IF(I201="","",EOMONTH(I201,1))</f>
        <v/>
      </c>
      <c r="K201" s="19" t="n"/>
      <c r="L201" s="21" t="n"/>
      <c r="M201" s="18">
        <f>IF(C201="","",IF(K201&lt;&gt;"","支払済","未払"))</f>
        <v/>
      </c>
    </row>
    <row r="202">
      <c r="E202" s="22" t="inlineStr">
        <is>
          <t>合計</t>
        </is>
      </c>
      <c r="F202" s="23">
        <f>SUMIF(M2:M201,"*",F2:F201)</f>
        <v/>
      </c>
      <c r="G202" s="23">
        <f>SUMIF(M2:M201,"*",G2:G201)</f>
        <v/>
      </c>
      <c r="H202" s="23">
        <f>SUMIF(M2:M201,"*",H2:H201)</f>
        <v/>
      </c>
      <c r="L202" s="23">
        <f>SUMIF(M2:M201,"*",L2:L201)</f>
        <v/>
      </c>
      <c r="M202" s="25">
        <f>COUNTIF(M2:M201,"未払")&amp;"件未払"</f>
        <v/>
      </c>
    </row>
  </sheetData>
  <autoFilter ref="A1:M201"/>
  <conditionalFormatting sqref="M2:M201">
    <cfRule type="expression" priority="1" dxfId="0">
      <formula>M2="未払"</formula>
    </cfRule>
    <cfRule type="expression" priority="2" dxfId="1">
      <formula>M2="支払済"</formula>
    </cfRule>
  </conditionalFormatting>
  <dataValidations count="1">
    <dataValidation sqref="C2:C201" showDropDown="0" showInputMessage="0" showErrorMessage="0" allowBlank="1" type="list">
      <formula1>"梶原通信,秀電工,井本貴史,LLS電気株式会社,トラストテクノス株式会社,株式会社RISE"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2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野添優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丸田翔吾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D1" s="22" t="inlineStr">
        <is>
          <t>得意先名</t>
        </is>
      </c>
      <c r="F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D2" t="inlineStr">
        <is>
          <t>港振興業株式会社</t>
        </is>
      </c>
      <c r="F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D3" t="inlineStr">
        <is>
          <t>株式会社トラストテクノス</t>
        </is>
      </c>
      <c r="F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D4" t="inlineStr">
        <is>
          <t>有限会社平成システム</t>
        </is>
      </c>
      <c r="F4" t="inlineStr">
        <is>
          <t>高速料金</t>
        </is>
      </c>
    </row>
    <row r="5">
      <c r="A5" t="inlineStr">
        <is>
          <t>LLS電気株式会社</t>
        </is>
      </c>
      <c r="B5" t="inlineStr">
        <is>
          <t>法人</t>
        </is>
      </c>
      <c r="D5" t="inlineStr">
        <is>
          <t>FGE合同会社</t>
        </is>
      </c>
      <c r="F5" t="inlineStr">
        <is>
          <t>駐車場代</t>
        </is>
      </c>
    </row>
    <row r="6">
      <c r="A6" t="inlineStr">
        <is>
          <t>トラストテクノス株式会社</t>
        </is>
      </c>
      <c r="B6" t="inlineStr">
        <is>
          <t>法人</t>
        </is>
      </c>
      <c r="D6" t="inlineStr">
        <is>
          <t>mtr株式会社</t>
        </is>
      </c>
      <c r="F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D7" t="inlineStr">
        <is>
          <t>株式会社オークコミュニケーション</t>
        </is>
      </c>
      <c r="F7" t="inlineStr">
        <is>
          <t>通信費</t>
        </is>
      </c>
    </row>
    <row r="8">
      <c r="D8" t="inlineStr">
        <is>
          <t>株式会社ライズ</t>
        </is>
      </c>
      <c r="F8" t="inlineStr">
        <is>
          <t>交際費</t>
        </is>
      </c>
    </row>
    <row r="9">
      <c r="D9" t="inlineStr">
        <is>
          <t>千里スカイハイツ管理組合</t>
        </is>
      </c>
      <c r="F9" t="inlineStr">
        <is>
          <t>会議費</t>
        </is>
      </c>
    </row>
    <row r="10">
      <c r="D10" t="inlineStr">
        <is>
          <t>菊次</t>
        </is>
      </c>
      <c r="F10" t="inlineStr">
        <is>
          <t>事務用品費</t>
        </is>
      </c>
    </row>
    <row r="11">
      <c r="D11" t="inlineStr">
        <is>
          <t>ページ</t>
        </is>
      </c>
      <c r="F11" t="inlineStr">
        <is>
          <t>広告宣伝費</t>
        </is>
      </c>
    </row>
    <row r="12">
      <c r="F12" t="inlineStr">
        <is>
          <t>研修費</t>
        </is>
      </c>
    </row>
    <row r="13">
      <c r="F13" t="inlineStr">
        <is>
          <t>福利厚生費</t>
        </is>
      </c>
    </row>
    <row r="14">
      <c r="F14" t="inlineStr">
        <is>
          <t>車両維持費</t>
        </is>
      </c>
    </row>
    <row r="15">
      <c r="F15" t="inlineStr">
        <is>
          <t>地代家賃</t>
        </is>
      </c>
    </row>
    <row r="16">
      <c r="F16" t="inlineStr">
        <is>
          <t>保険料</t>
        </is>
      </c>
    </row>
    <row r="17">
      <c r="F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2026-04-15T07:54:58Z</dcterms:created>
  <dcterms:modified xsi:type="dcterms:W3CDTF">2026-04-15T07:54:59Z</dcterms:modified>
</cp:coreProperties>
</file>